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athv\OneDrive\Desktop\"/>
    </mc:Choice>
  </mc:AlternateContent>
  <xr:revisionPtr revIDLastSave="0" documentId="13_ncr:1_{5E9A1052-53E7-4C9E-9659-A1CDFFC1D3BF}" xr6:coauthVersionLast="47" xr6:coauthVersionMax="47" xr10:uidLastSave="{00000000-0000-0000-0000-000000000000}"/>
  <bookViews>
    <workbookView xWindow="24" yWindow="24" windowWidth="23016" windowHeight="12216" xr2:uid="{3F77935A-E8A0-49DB-A7FB-474F36239E1A}"/>
  </bookViews>
  <sheets>
    <sheet name="Sheet1" sheetId="2" r:id="rId1"/>
    <sheet name="Sheet3" sheetId="9" r:id="rId2"/>
    <sheet name="Orders_2024_Jan_Jun" sheetId="1" r:id="rId3"/>
  </sheets>
  <definedNames>
    <definedName name="_xlnm._FilterDatabase" localSheetId="0" hidden="1">Sheet1!$N$8:$S$11</definedName>
    <definedName name="_xlcn.WorksheetConnection_EXCEL_DB1.xlsxTable11" hidden="1">Table1[]</definedName>
    <definedName name="Slicer_Category">#N/A</definedName>
    <definedName name="Slicer_PaymentMethod">#N/A</definedName>
    <definedName name="Slicer_Region">#N/A</definedName>
  </definedNames>
  <calcPr calcId="191029"/>
  <pivotCaches>
    <pivotCache cacheId="0" r:id="rId4"/>
    <pivotCache cacheId="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EXCEL_DB1.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9" i="2" l="1"/>
  <c r="AB9" i="2"/>
  <c r="G9" i="2"/>
  <c r="N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C2D256-B721-4663-ABD5-4D9D5A6FF84F}"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 id="2" xr16:uid="{3C2116D9-C35A-4A6E-9AA3-3AD06B303A54}" name="WorksheetConnection_EXCEL_DB1.xlsx!Table1" type="102" refreshedVersion="8" minRefreshableVersion="5">
    <extLst>
      <ext xmlns:x15="http://schemas.microsoft.com/office/spreadsheetml/2010/11/main" uri="{DE250136-89BD-433C-8126-D09CA5730AF9}">
        <x15:connection id="Table1" autoDelete="1">
          <x15:rangePr sourceName="_xlcn.WorksheetConnection_EXCEL_DB1.xlsxTable11"/>
        </x15:connection>
      </ext>
    </extLst>
  </connection>
</connections>
</file>

<file path=xl/sharedStrings.xml><?xml version="1.0" encoding="utf-8"?>
<sst xmlns="http://schemas.openxmlformats.org/spreadsheetml/2006/main" count="1314" uniqueCount="119">
  <si>
    <t>OrderID</t>
  </si>
  <si>
    <t>OrderDate</t>
  </si>
  <si>
    <t>CustomerID</t>
  </si>
  <si>
    <t>CustomerName</t>
  </si>
  <si>
    <t>Region</t>
  </si>
  <si>
    <t>ProductID</t>
  </si>
  <si>
    <t>ProductName</t>
  </si>
  <si>
    <t>Category</t>
  </si>
  <si>
    <t>Quantity</t>
  </si>
  <si>
    <t>Price</t>
  </si>
  <si>
    <t>TotalAmount</t>
  </si>
  <si>
    <t>PaymentMethod</t>
  </si>
  <si>
    <t>Customer_2</t>
  </si>
  <si>
    <t>Product_9</t>
  </si>
  <si>
    <t>Grocery</t>
  </si>
  <si>
    <t>UPI</t>
  </si>
  <si>
    <t>Customer_37</t>
  </si>
  <si>
    <t>North</t>
  </si>
  <si>
    <t>Product_19</t>
  </si>
  <si>
    <t>Home Decor</t>
  </si>
  <si>
    <t>NetBanking</t>
  </si>
  <si>
    <t>Customer_9</t>
  </si>
  <si>
    <t>South</t>
  </si>
  <si>
    <t>Product_12</t>
  </si>
  <si>
    <t>COD</t>
  </si>
  <si>
    <t>Customer_40</t>
  </si>
  <si>
    <t>West</t>
  </si>
  <si>
    <t>Product_14</t>
  </si>
  <si>
    <t>Customer_48</t>
  </si>
  <si>
    <t>Product_17</t>
  </si>
  <si>
    <t>Electronics</t>
  </si>
  <si>
    <t>Customer_25</t>
  </si>
  <si>
    <t>Product_18</t>
  </si>
  <si>
    <t>Card</t>
  </si>
  <si>
    <t>Customer_30</t>
  </si>
  <si>
    <t>Customer_5</t>
  </si>
  <si>
    <t>Product_13</t>
  </si>
  <si>
    <t>Customer_39</t>
  </si>
  <si>
    <t>Product_5</t>
  </si>
  <si>
    <t>Customer_7</t>
  </si>
  <si>
    <t>Customer_29</t>
  </si>
  <si>
    <t>Customer_45</t>
  </si>
  <si>
    <t>Product_1</t>
  </si>
  <si>
    <t>Customer_16</t>
  </si>
  <si>
    <t>Product_8</t>
  </si>
  <si>
    <t>Customer_17</t>
  </si>
  <si>
    <t>Customer_26</t>
  </si>
  <si>
    <t>Customer_1</t>
  </si>
  <si>
    <t>Customer_31</t>
  </si>
  <si>
    <t>Product_2</t>
  </si>
  <si>
    <t>Customer_38</t>
  </si>
  <si>
    <t>Customer_28</t>
  </si>
  <si>
    <t>Product_4</t>
  </si>
  <si>
    <t>Customer_35</t>
  </si>
  <si>
    <t>Customer_46</t>
  </si>
  <si>
    <t>Product_16</t>
  </si>
  <si>
    <t>Customer_12</t>
  </si>
  <si>
    <t>Customer_4</t>
  </si>
  <si>
    <t>Customer_21</t>
  </si>
  <si>
    <t>Customer_27</t>
  </si>
  <si>
    <t>Customer_36</t>
  </si>
  <si>
    <t>Product_10</t>
  </si>
  <si>
    <t>Fashion</t>
  </si>
  <si>
    <t>East</t>
  </si>
  <si>
    <t>Customer_10</t>
  </si>
  <si>
    <t>Product_15</t>
  </si>
  <si>
    <t>Customer_49</t>
  </si>
  <si>
    <t>Product_7</t>
  </si>
  <si>
    <t>Customer_23</t>
  </si>
  <si>
    <t>Customer_22</t>
  </si>
  <si>
    <t>Customer_6</t>
  </si>
  <si>
    <t>Product_6</t>
  </si>
  <si>
    <t>Customer_15</t>
  </si>
  <si>
    <t>Customer_44</t>
  </si>
  <si>
    <t>Customer_8</t>
  </si>
  <si>
    <t>Customer_34</t>
  </si>
  <si>
    <t>Customer_43</t>
  </si>
  <si>
    <t>Product_11</t>
  </si>
  <si>
    <t>Customer_32</t>
  </si>
  <si>
    <t>Customer_33</t>
  </si>
  <si>
    <t>Product_20</t>
  </si>
  <si>
    <t>Product_3</t>
  </si>
  <si>
    <t>Customer_24</t>
  </si>
  <si>
    <t>Customer_19</t>
  </si>
  <si>
    <t>Customer_47</t>
  </si>
  <si>
    <t>Customer_50</t>
  </si>
  <si>
    <t>Customer_13</t>
  </si>
  <si>
    <t>Customer_3</t>
  </si>
  <si>
    <t>Customer_14</t>
  </si>
  <si>
    <t>Customer_11</t>
  </si>
  <si>
    <t>Customer_42</t>
  </si>
  <si>
    <t>Customer_41</t>
  </si>
  <si>
    <t>Customer_20</t>
  </si>
  <si>
    <t>Customer_18</t>
  </si>
  <si>
    <t>Row Labels</t>
  </si>
  <si>
    <t>Grand Total</t>
  </si>
  <si>
    <t>Sum of Quantity</t>
  </si>
  <si>
    <t>Sum of TotalAmount</t>
  </si>
  <si>
    <t>Count of PaymentMethod</t>
  </si>
  <si>
    <t>Count of OrderID</t>
  </si>
  <si>
    <t>TOTAL SALES</t>
  </si>
  <si>
    <t>Jan</t>
  </si>
  <si>
    <t>Feb</t>
  </si>
  <si>
    <t>Mar</t>
  </si>
  <si>
    <t>Apr</t>
  </si>
  <si>
    <t>May</t>
  </si>
  <si>
    <t>Jun</t>
  </si>
  <si>
    <t>Jul</t>
  </si>
  <si>
    <t>Aug</t>
  </si>
  <si>
    <t>Sep</t>
  </si>
  <si>
    <t>Oct</t>
  </si>
  <si>
    <t>Nov</t>
  </si>
  <si>
    <t>Dec</t>
  </si>
  <si>
    <t>TOTAL ORDERS</t>
  </si>
  <si>
    <t>QUANTITY SOLD</t>
  </si>
  <si>
    <t>PRODUCT NAME</t>
  </si>
  <si>
    <t>Distinct Count of CustomerID</t>
  </si>
  <si>
    <t xml:space="preserve"> CUSTOMERS COUNT</t>
  </si>
  <si>
    <t xml:space="preserve">    2024 SALES AND ORDERS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</si>
</sst>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4"/>
      <color theme="1"/>
      <name val="Aptos Narrow"/>
      <family val="2"/>
      <scheme val="minor"/>
    </font>
    <font>
      <b/>
      <sz val="14"/>
      <color theme="1"/>
      <name val="Aptos Narrow"/>
      <family val="2"/>
      <scheme val="minor"/>
    </font>
    <font>
      <b/>
      <sz val="24"/>
      <color theme="2"/>
      <name val="Aptos Narrow"/>
      <family val="2"/>
      <scheme val="minor"/>
    </font>
    <font>
      <b/>
      <sz val="36"/>
      <color theme="3" tint="0.249977111117893"/>
      <name val="Algerian"/>
      <family val="5"/>
    </font>
    <font>
      <b/>
      <sz val="20"/>
      <color theme="1"/>
      <name val="Aptos Narrow"/>
      <family val="2"/>
      <scheme val="minor"/>
    </font>
    <font>
      <b/>
      <sz val="24"/>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
      <patternFill patternType="solid">
        <fgColor theme="7" tint="-0.499984740745262"/>
        <bgColor indexed="64"/>
      </patternFill>
    </fill>
    <fill>
      <patternFill patternType="solid">
        <fgColor theme="2"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21" fillId="34" borderId="0" xfId="0" applyFont="1" applyFill="1" applyAlignment="1">
      <alignment horizontal="center" vertical="center"/>
    </xf>
    <xf numFmtId="0" fontId="20" fillId="33" borderId="0" xfId="0" applyFont="1" applyFill="1" applyAlignment="1">
      <alignment horizontal="center" vertical="center"/>
    </xf>
    <xf numFmtId="0" fontId="19" fillId="33" borderId="0" xfId="0" applyFont="1" applyFill="1" applyAlignment="1">
      <alignment horizontal="center" vertical="center"/>
    </xf>
    <xf numFmtId="0" fontId="22" fillId="35" borderId="0" xfId="0" applyFont="1" applyFill="1" applyAlignment="1">
      <alignment horizontal="center" vertical="center"/>
    </xf>
    <xf numFmtId="0" fontId="0" fillId="0" borderId="0" xfId="0" applyAlignment="1">
      <alignment horizontal="center"/>
    </xf>
    <xf numFmtId="0" fontId="0" fillId="0" borderId="0" xfId="0" applyNumberFormat="1"/>
    <xf numFmtId="0" fontId="20" fillId="0" borderId="0" xfId="0" applyFont="1" applyFill="1" applyAlignment="1">
      <alignment horizontal="center" vertical="center"/>
    </xf>
    <xf numFmtId="0" fontId="0" fillId="0" borderId="0" xfId="0" applyFill="1"/>
    <xf numFmtId="0" fontId="0" fillId="0" borderId="0" xfId="0" applyFill="1" applyAlignment="1">
      <alignment horizontal="center"/>
    </xf>
    <xf numFmtId="0" fontId="22" fillId="0" borderId="0" xfId="0" applyFont="1" applyFill="1" applyAlignment="1">
      <alignment vertical="center"/>
    </xf>
    <xf numFmtId="0" fontId="20" fillId="0" borderId="0" xfId="0" applyFont="1" applyFill="1" applyAlignment="1">
      <alignment vertical="center"/>
    </xf>
    <xf numFmtId="0" fontId="19" fillId="0" borderId="0" xfId="0" applyFont="1" applyFill="1" applyAlignment="1">
      <alignment vertical="center"/>
    </xf>
    <xf numFmtId="0" fontId="21" fillId="0" borderId="0" xfId="0" applyFont="1" applyFill="1" applyAlignment="1">
      <alignment vertical="center"/>
    </xf>
    <xf numFmtId="0" fontId="23" fillId="0" borderId="0" xfId="0" applyFont="1"/>
    <xf numFmtId="0" fontId="24"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colors>
    <mruColors>
      <color rgb="FF9AA90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powerPivotData" Target="model/item.data"/><Relationship Id="rId18" Type="http://schemas.openxmlformats.org/officeDocument/2006/relationships/customXml" Target="../customXml/item4.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5" Type="http://schemas.openxmlformats.org/officeDocument/2006/relationships/customXml" Target="../customXml/item1.xml"/><Relationship Id="rId10" Type="http://schemas.openxmlformats.org/officeDocument/2006/relationships/connections" Target="connections.xml"/><Relationship Id="rId19" Type="http://schemas.openxmlformats.org/officeDocument/2006/relationships/customXml" Target="../customXml/item5.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[EXCEL_DB1.xlsx]Sheet1!PivotTable1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kern="1200" baseline="0">
                <a:solidFill>
                  <a:schemeClr val="tx1"/>
                </a:solidFill>
              </a:rPr>
              <a:t>SUM OF SALES BY CATEGORY</a:t>
            </a:r>
          </a:p>
        </c:rich>
      </c:tx>
      <c:layout>
        <c:manualLayout>
          <c:xMode val="edge"/>
          <c:yMode val="edge"/>
          <c:x val="0.25789595978046898"/>
          <c:y val="2.9241594996090695E-2"/>
        </c:manualLayout>
      </c:layout>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pivotFmt>
    </c:pivotFmts>
    <c:plotArea>
      <c:layout>
        <c:manualLayout>
          <c:layoutTarget val="inner"/>
          <c:xMode val="edge"/>
          <c:yMode val="edge"/>
          <c:x val="0.1126949653328328"/>
          <c:y val="0.12031306894735626"/>
          <c:w val="0.74809240621852113"/>
          <c:h val="0.66264454499748615"/>
        </c:manualLayout>
      </c:layout>
      <c:barChart>
        <c:barDir val="col"/>
        <c:grouping val="clustered"/>
        <c:varyColors val="0"/>
        <c:ser>
          <c:idx val="0"/>
          <c:order val="0"/>
          <c:tx>
            <c:strRef>
              <c:f>Sheet1!$BE$8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Sheet1!$BD$9:$BD$13</c:f>
              <c:strCache>
                <c:ptCount val="4"/>
                <c:pt idx="0">
                  <c:v>Electronics</c:v>
                </c:pt>
                <c:pt idx="1">
                  <c:v>Fashion</c:v>
                </c:pt>
                <c:pt idx="2">
                  <c:v>Grocery</c:v>
                </c:pt>
                <c:pt idx="3">
                  <c:v>Home Decor</c:v>
                </c:pt>
              </c:strCache>
            </c:strRef>
          </c:cat>
          <c:val>
            <c:numRef>
              <c:f>Sheet1!$BE$9:$BE$13</c:f>
              <c:numCache>
                <c:formatCode>General</c:formatCode>
                <c:ptCount val="4"/>
                <c:pt idx="0">
                  <c:v>492526</c:v>
                </c:pt>
                <c:pt idx="1">
                  <c:v>136378</c:v>
                </c:pt>
                <c:pt idx="2">
                  <c:v>260135</c:v>
                </c:pt>
                <c:pt idx="3">
                  <c:v>642043</c:v>
                </c:pt>
              </c:numCache>
            </c:numRef>
          </c:val>
          <c:extLst>
            <c:ext xmlns:c16="http://schemas.microsoft.com/office/drawing/2014/chart" uri="{C3380CC4-5D6E-409C-BE32-E72D297353CC}">
              <c16:uniqueId val="{00000000-F193-4062-A237-2AB216FFF159}"/>
            </c:ext>
          </c:extLst>
        </c:ser>
        <c:dLbls>
          <c:dLblPos val="inEnd"/>
          <c:showLegendKey val="0"/>
          <c:showVal val="1"/>
          <c:showCatName val="0"/>
          <c:showSerName val="0"/>
          <c:showPercent val="0"/>
          <c:showBubbleSize val="0"/>
        </c:dLbls>
        <c:gapWidth val="65"/>
        <c:axId val="343912336"/>
        <c:axId val="2140438895"/>
      </c:barChart>
      <c:catAx>
        <c:axId val="3439123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lumMod val="95000"/>
                    <a:lumOff val="5000"/>
                  </a:schemeClr>
                </a:solidFill>
                <a:latin typeface="+mn-lt"/>
                <a:ea typeface="+mn-ea"/>
                <a:cs typeface="+mn-cs"/>
              </a:defRPr>
            </a:pPr>
            <a:endParaRPr lang="en-US"/>
          </a:p>
        </c:txPr>
        <c:crossAx val="2140438895"/>
        <c:crosses val="autoZero"/>
        <c:auto val="1"/>
        <c:lblAlgn val="ctr"/>
        <c:lblOffset val="100"/>
        <c:noMultiLvlLbl val="0"/>
      </c:catAx>
      <c:valAx>
        <c:axId val="214043889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439123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[EXCEL_DB1.xlsx]Sheet1!PivotTable4</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US" sz="1800" b="1" i="0" u="none" strike="noStrike" kern="1200" baseline="0">
                <a:solidFill>
                  <a:schemeClr val="tx1"/>
                </a:solidFill>
              </a:rPr>
              <a:t>SUM OF SALES AMOUNT BY PAYMENT TYPE</a:t>
            </a:r>
          </a:p>
        </c:rich>
      </c:tx>
      <c:layout>
        <c:manualLayout>
          <c:xMode val="edge"/>
          <c:yMode val="edge"/>
          <c:x val="0.16736132318319899"/>
          <c:y val="0.11553522445627511"/>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Sheet1!$BE$15</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Sheet1!$BD$16:$BD$20</c:f>
              <c:strCache>
                <c:ptCount val="4"/>
                <c:pt idx="0">
                  <c:v>COD</c:v>
                </c:pt>
                <c:pt idx="1">
                  <c:v>UPI</c:v>
                </c:pt>
                <c:pt idx="2">
                  <c:v>Card</c:v>
                </c:pt>
                <c:pt idx="3">
                  <c:v>NetBanking</c:v>
                </c:pt>
              </c:strCache>
            </c:strRef>
          </c:cat>
          <c:val>
            <c:numRef>
              <c:f>Sheet1!$BE$16:$BE$20</c:f>
              <c:numCache>
                <c:formatCode>General</c:formatCode>
                <c:ptCount val="4"/>
                <c:pt idx="0">
                  <c:v>408526</c:v>
                </c:pt>
                <c:pt idx="1">
                  <c:v>381683</c:v>
                </c:pt>
                <c:pt idx="2">
                  <c:v>381055</c:v>
                </c:pt>
                <c:pt idx="3">
                  <c:v>359818</c:v>
                </c:pt>
              </c:numCache>
            </c:numRef>
          </c:val>
          <c:smooth val="0"/>
          <c:extLst>
            <c:ext xmlns:c16="http://schemas.microsoft.com/office/drawing/2014/chart" uri="{C3380CC4-5D6E-409C-BE32-E72D297353CC}">
              <c16:uniqueId val="{00000005-ACEC-4586-A6BC-6377F03CF833}"/>
            </c:ext>
          </c:extLst>
        </c:ser>
        <c:dLbls>
          <c:dLblPos val="ctr"/>
          <c:showLegendKey val="0"/>
          <c:showVal val="1"/>
          <c:showCatName val="0"/>
          <c:showSerName val="0"/>
          <c:showPercent val="0"/>
          <c:showBubbleSize val="0"/>
        </c:dLbls>
        <c:marker val="1"/>
        <c:smooth val="0"/>
        <c:axId val="343902128"/>
        <c:axId val="2140456655"/>
      </c:lineChart>
      <c:catAx>
        <c:axId val="34390212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lumMod val="95000"/>
                    <a:lumOff val="5000"/>
                  </a:schemeClr>
                </a:solidFill>
                <a:latin typeface="+mn-lt"/>
                <a:ea typeface="+mn-ea"/>
                <a:cs typeface="+mn-cs"/>
              </a:defRPr>
            </a:pPr>
            <a:endParaRPr lang="en-US"/>
          </a:p>
        </c:txPr>
        <c:crossAx val="2140456655"/>
        <c:crosses val="autoZero"/>
        <c:auto val="1"/>
        <c:lblAlgn val="ctr"/>
        <c:lblOffset val="100"/>
        <c:noMultiLvlLbl val="0"/>
      </c:catAx>
      <c:valAx>
        <c:axId val="214045665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4390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[EXCEL_DB1.xlsx]Sheet1!PivotTable2</c:name>
    <c:fmtId val="1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ysClr val="windowText" lastClr="000000"/>
                </a:solidFill>
              </a:rPr>
              <a:t>REGION</a:t>
            </a:r>
            <a:r>
              <a:rPr lang="en-US" baseline="0">
                <a:solidFill>
                  <a:sysClr val="windowText" lastClr="000000"/>
                </a:solidFill>
              </a:rPr>
              <a:t> 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04195456859184"/>
          <c:y val="0.26776389288137975"/>
          <c:w val="0.56207387139216247"/>
          <c:h val="0.61319635769990899"/>
        </c:manualLayout>
      </c:layout>
      <c:barChart>
        <c:barDir val="bar"/>
        <c:grouping val="clustered"/>
        <c:varyColors val="0"/>
        <c:ser>
          <c:idx val="0"/>
          <c:order val="0"/>
          <c:tx>
            <c:strRef>
              <c:f>Sheet1!$BE$42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Sheet1!$BD$43:$BD$47</c:f>
              <c:strCache>
                <c:ptCount val="4"/>
                <c:pt idx="0">
                  <c:v>North</c:v>
                </c:pt>
                <c:pt idx="1">
                  <c:v>South</c:v>
                </c:pt>
                <c:pt idx="2">
                  <c:v>East</c:v>
                </c:pt>
                <c:pt idx="3">
                  <c:v>West</c:v>
                </c:pt>
              </c:strCache>
            </c:strRef>
          </c:cat>
          <c:val>
            <c:numRef>
              <c:f>Sheet1!$BE$43:$BE$47</c:f>
              <c:numCache>
                <c:formatCode>General</c:formatCode>
                <c:ptCount val="4"/>
                <c:pt idx="0">
                  <c:v>328068</c:v>
                </c:pt>
                <c:pt idx="1">
                  <c:v>416457</c:v>
                </c:pt>
                <c:pt idx="2">
                  <c:v>273989</c:v>
                </c:pt>
                <c:pt idx="3">
                  <c:v>512568</c:v>
                </c:pt>
              </c:numCache>
            </c:numRef>
          </c:val>
          <c:extLst>
            <c:ext xmlns:c16="http://schemas.microsoft.com/office/drawing/2014/chart" uri="{C3380CC4-5D6E-409C-BE32-E72D297353CC}">
              <c16:uniqueId val="{00000000-35F4-4C4F-8E5E-50281972F64D}"/>
            </c:ext>
          </c:extLst>
        </c:ser>
        <c:dLbls>
          <c:dLblPos val="inEnd"/>
          <c:showLegendKey val="0"/>
          <c:showVal val="1"/>
          <c:showCatName val="0"/>
          <c:showSerName val="0"/>
          <c:showPercent val="0"/>
          <c:showBubbleSize val="0"/>
        </c:dLbls>
        <c:gapWidth val="65"/>
        <c:axId val="26212320"/>
        <c:axId val="1816998639"/>
      </c:barChart>
      <c:catAx>
        <c:axId val="262123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16998639"/>
        <c:crosses val="autoZero"/>
        <c:auto val="1"/>
        <c:lblAlgn val="ctr"/>
        <c:lblOffset val="100"/>
        <c:noMultiLvlLbl val="0"/>
      </c:catAx>
      <c:valAx>
        <c:axId val="181699863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621232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[EXCEL_DB1.xlsx]Sheet1!PivotTable3</c:name>
    <c:fmtId val="2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 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Sheet1!$BE$49</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Sheet1!$BD$50:$BD$62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Sheet1!$BE$50:$BE$62</c:f>
              <c:numCache>
                <c:formatCode>General</c:formatCode>
                <c:ptCount val="12"/>
                <c:pt idx="0">
                  <c:v>123541</c:v>
                </c:pt>
                <c:pt idx="1">
                  <c:v>183339</c:v>
                </c:pt>
                <c:pt idx="2">
                  <c:v>308084</c:v>
                </c:pt>
                <c:pt idx="3">
                  <c:v>169243</c:v>
                </c:pt>
                <c:pt idx="4">
                  <c:v>298998</c:v>
                </c:pt>
                <c:pt idx="5">
                  <c:v>147665</c:v>
                </c:pt>
                <c:pt idx="6">
                  <c:v>75016</c:v>
                </c:pt>
                <c:pt idx="7">
                  <c:v>54439</c:v>
                </c:pt>
                <c:pt idx="8">
                  <c:v>44586</c:v>
                </c:pt>
                <c:pt idx="9">
                  <c:v>47378</c:v>
                </c:pt>
                <c:pt idx="10">
                  <c:v>34653</c:v>
                </c:pt>
                <c:pt idx="11">
                  <c:v>44140</c:v>
                </c:pt>
              </c:numCache>
            </c:numRef>
          </c:val>
          <c:smooth val="0"/>
          <c:extLst>
            <c:ext xmlns:c16="http://schemas.microsoft.com/office/drawing/2014/chart" uri="{C3380CC4-5D6E-409C-BE32-E72D297353CC}">
              <c16:uniqueId val="{00000000-15AB-43F8-8041-A8AF754EE2A2}"/>
            </c:ext>
          </c:extLst>
        </c:ser>
        <c:dLbls>
          <c:dLblPos val="ctr"/>
          <c:showLegendKey val="0"/>
          <c:showVal val="1"/>
          <c:showCatName val="0"/>
          <c:showSerName val="0"/>
          <c:showPercent val="0"/>
          <c:showBubbleSize val="0"/>
        </c:dLbls>
        <c:marker val="1"/>
        <c:smooth val="0"/>
        <c:axId val="46879264"/>
        <c:axId val="816221072"/>
      </c:lineChart>
      <c:catAx>
        <c:axId val="468792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16221072"/>
        <c:crosses val="autoZero"/>
        <c:auto val="1"/>
        <c:lblAlgn val="ctr"/>
        <c:lblOffset val="100"/>
        <c:noMultiLvlLbl val="0"/>
      </c:catAx>
      <c:valAx>
        <c:axId val="8162210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68792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[EXCEL_DB1.xlsx]Sheet1!PivotTable10</c:name>
    <c:fmtId val="20"/>
  </c:pivotSource>
  <c:chart>
    <c:title>
      <c:tx>
        <c:rich>
          <a:bodyPr rot="0" spcFirstLastPara="1" vertOverflow="ellipsis" vert="horz" wrap="square" anchor="ctr" anchorCtr="1"/>
          <a:lstStyle/>
          <a:p>
            <a:pPr>
              <a:defRPr sz="1800" b="1" i="0" u="none" strike="noStrike" kern="1200" baseline="0">
                <a:solidFill>
                  <a:schemeClr val="tx1">
                    <a:lumMod val="95000"/>
                    <a:lumOff val="5000"/>
                  </a:schemeClr>
                </a:solidFill>
                <a:latin typeface="+mn-lt"/>
                <a:ea typeface="+mn-ea"/>
                <a:cs typeface="+mn-cs"/>
              </a:defRPr>
            </a:pPr>
            <a:r>
              <a:rPr lang="en-US">
                <a:solidFill>
                  <a:schemeClr val="tx1">
                    <a:lumMod val="95000"/>
                    <a:lumOff val="5000"/>
                  </a:schemeClr>
                </a:solidFill>
              </a:rPr>
              <a:t>TOP</a:t>
            </a:r>
            <a:r>
              <a:rPr lang="en-US" baseline="0">
                <a:solidFill>
                  <a:schemeClr val="tx1">
                    <a:lumMod val="95000"/>
                    <a:lumOff val="5000"/>
                  </a:schemeClr>
                </a:solidFill>
              </a:rPr>
              <a:t> 10 PRODUCTS SOLD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Sheet1!$BE$64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Sheet1!$BD$65:$BD$75</c:f>
              <c:strCache>
                <c:ptCount val="10"/>
                <c:pt idx="0">
                  <c:v>Product_8</c:v>
                </c:pt>
                <c:pt idx="1">
                  <c:v>Product_16</c:v>
                </c:pt>
                <c:pt idx="2">
                  <c:v>Product_12</c:v>
                </c:pt>
                <c:pt idx="3">
                  <c:v>Product_13</c:v>
                </c:pt>
                <c:pt idx="4">
                  <c:v>Product_17</c:v>
                </c:pt>
                <c:pt idx="5">
                  <c:v>Product_20</c:v>
                </c:pt>
                <c:pt idx="6">
                  <c:v>Product_19</c:v>
                </c:pt>
                <c:pt idx="7">
                  <c:v>Product_9</c:v>
                </c:pt>
                <c:pt idx="8">
                  <c:v>Product_3</c:v>
                </c:pt>
                <c:pt idx="9">
                  <c:v>Product_7</c:v>
                </c:pt>
              </c:strCache>
            </c:strRef>
          </c:cat>
          <c:val>
            <c:numRef>
              <c:f>Sheet1!$BE$65:$BE$75</c:f>
              <c:numCache>
                <c:formatCode>General</c:formatCode>
                <c:ptCount val="10"/>
                <c:pt idx="0">
                  <c:v>228956</c:v>
                </c:pt>
                <c:pt idx="1">
                  <c:v>171424</c:v>
                </c:pt>
                <c:pt idx="2">
                  <c:v>127737</c:v>
                </c:pt>
                <c:pt idx="3">
                  <c:v>114030</c:v>
                </c:pt>
                <c:pt idx="4">
                  <c:v>112200</c:v>
                </c:pt>
                <c:pt idx="5">
                  <c:v>91922</c:v>
                </c:pt>
                <c:pt idx="6">
                  <c:v>76587</c:v>
                </c:pt>
                <c:pt idx="7">
                  <c:v>75384</c:v>
                </c:pt>
                <c:pt idx="8">
                  <c:v>75268</c:v>
                </c:pt>
                <c:pt idx="9">
                  <c:v>74750</c:v>
                </c:pt>
              </c:numCache>
            </c:numRef>
          </c:val>
          <c:extLst>
            <c:ext xmlns:c16="http://schemas.microsoft.com/office/drawing/2014/chart" uri="{C3380CC4-5D6E-409C-BE32-E72D297353CC}">
              <c16:uniqueId val="{00000000-2E31-4D22-B5DB-105A55E193B9}"/>
            </c:ext>
          </c:extLst>
        </c:ser>
        <c:dLbls>
          <c:dLblPos val="inEnd"/>
          <c:showLegendKey val="0"/>
          <c:showVal val="1"/>
          <c:showCatName val="0"/>
          <c:showSerName val="0"/>
          <c:showPercent val="0"/>
          <c:showBubbleSize val="0"/>
        </c:dLbls>
        <c:gapWidth val="65"/>
        <c:axId val="965668496"/>
        <c:axId val="346637808"/>
      </c:barChart>
      <c:catAx>
        <c:axId val="9656684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0" spcFirstLastPara="1" vertOverflow="ellipsis" wrap="square" anchor="ctr" anchorCtr="1"/>
          <a:lstStyle/>
          <a:p>
            <a:pPr>
              <a:defRPr sz="900" b="0" i="0" u="none" strike="noStrike" kern="1200" cap="all" baseline="0">
                <a:solidFill>
                  <a:schemeClr val="tx1">
                    <a:lumMod val="95000"/>
                    <a:lumOff val="5000"/>
                  </a:schemeClr>
                </a:solidFill>
                <a:latin typeface="+mn-lt"/>
                <a:ea typeface="+mn-ea"/>
                <a:cs typeface="+mn-cs"/>
              </a:defRPr>
            </a:pPr>
            <a:endParaRPr lang="en-US"/>
          </a:p>
        </c:txPr>
        <c:crossAx val="346637808"/>
        <c:crosses val="autoZero"/>
        <c:auto val="1"/>
        <c:lblAlgn val="ctr"/>
        <c:lblOffset val="100"/>
        <c:noMultiLvlLbl val="0"/>
      </c:catAx>
      <c:valAx>
        <c:axId val="34663780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96566849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[EXCEL_DB1.xlsx]Sheet1!PivotTable2</c:name>
    <c:fmtId val="2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ysClr val="windowText" lastClr="000000"/>
                </a:solidFill>
              </a:rPr>
              <a:t>REGION</a:t>
            </a:r>
            <a:r>
              <a:rPr lang="en-US" baseline="0">
                <a:solidFill>
                  <a:sysClr val="windowText" lastClr="000000"/>
                </a:solidFill>
              </a:rPr>
              <a:t> 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04195456859184"/>
          <c:y val="0.26776389288137975"/>
          <c:w val="0.56207387139216247"/>
          <c:h val="0.61319635769990899"/>
        </c:manualLayout>
      </c:layout>
      <c:barChart>
        <c:barDir val="bar"/>
        <c:grouping val="clustered"/>
        <c:varyColors val="0"/>
        <c:ser>
          <c:idx val="0"/>
          <c:order val="0"/>
          <c:tx>
            <c:strRef>
              <c:f>Sheet1!$BE$42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Sheet1!$BD$43:$BD$47</c:f>
              <c:strCache>
                <c:ptCount val="4"/>
                <c:pt idx="0">
                  <c:v>North</c:v>
                </c:pt>
                <c:pt idx="1">
                  <c:v>South</c:v>
                </c:pt>
                <c:pt idx="2">
                  <c:v>East</c:v>
                </c:pt>
                <c:pt idx="3">
                  <c:v>West</c:v>
                </c:pt>
              </c:strCache>
            </c:strRef>
          </c:cat>
          <c:val>
            <c:numRef>
              <c:f>Sheet1!$BE$43:$BE$47</c:f>
              <c:numCache>
                <c:formatCode>General</c:formatCode>
                <c:ptCount val="4"/>
                <c:pt idx="0">
                  <c:v>328068</c:v>
                </c:pt>
                <c:pt idx="1">
                  <c:v>416457</c:v>
                </c:pt>
                <c:pt idx="2">
                  <c:v>273989</c:v>
                </c:pt>
                <c:pt idx="3">
                  <c:v>512568</c:v>
                </c:pt>
              </c:numCache>
            </c:numRef>
          </c:val>
          <c:extLst>
            <c:ext xmlns:c16="http://schemas.microsoft.com/office/drawing/2014/chart" uri="{C3380CC4-5D6E-409C-BE32-E72D297353CC}">
              <c16:uniqueId val="{00000000-3165-47DB-955C-760CD5395A08}"/>
            </c:ext>
          </c:extLst>
        </c:ser>
        <c:dLbls>
          <c:dLblPos val="inEnd"/>
          <c:showLegendKey val="0"/>
          <c:showVal val="1"/>
          <c:showCatName val="0"/>
          <c:showSerName val="0"/>
          <c:showPercent val="0"/>
          <c:showBubbleSize val="0"/>
        </c:dLbls>
        <c:gapWidth val="65"/>
        <c:axId val="26212320"/>
        <c:axId val="1816998639"/>
      </c:barChart>
      <c:catAx>
        <c:axId val="262123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16998639"/>
        <c:crosses val="autoZero"/>
        <c:auto val="1"/>
        <c:lblAlgn val="ctr"/>
        <c:lblOffset val="100"/>
        <c:noMultiLvlLbl val="0"/>
      </c:catAx>
      <c:valAx>
        <c:axId val="181699863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621232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[EXCEL_DB1.xlsx]Sheet1!PivotTable3</c:name>
    <c:fmtId val="2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 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582709742571171E-2"/>
          <c:y val="0.27554065022082774"/>
          <c:w val="0.84212897396214725"/>
          <c:h val="0.53303948195958695"/>
        </c:manualLayout>
      </c:layout>
      <c:lineChart>
        <c:grouping val="standard"/>
        <c:varyColors val="0"/>
        <c:ser>
          <c:idx val="0"/>
          <c:order val="0"/>
          <c:tx>
            <c:strRef>
              <c:f>Sheet1!$BE$49</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Sheet1!$BD$50:$BD$62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Sheet1!$BE$50:$BE$62</c:f>
              <c:numCache>
                <c:formatCode>General</c:formatCode>
                <c:ptCount val="12"/>
                <c:pt idx="0">
                  <c:v>123541</c:v>
                </c:pt>
                <c:pt idx="1">
                  <c:v>183339</c:v>
                </c:pt>
                <c:pt idx="2">
                  <c:v>308084</c:v>
                </c:pt>
                <c:pt idx="3">
                  <c:v>169243</c:v>
                </c:pt>
                <c:pt idx="4">
                  <c:v>298998</c:v>
                </c:pt>
                <c:pt idx="5">
                  <c:v>147665</c:v>
                </c:pt>
                <c:pt idx="6">
                  <c:v>75016</c:v>
                </c:pt>
                <c:pt idx="7">
                  <c:v>54439</c:v>
                </c:pt>
                <c:pt idx="8">
                  <c:v>44586</c:v>
                </c:pt>
                <c:pt idx="9">
                  <c:v>47378</c:v>
                </c:pt>
                <c:pt idx="10">
                  <c:v>34653</c:v>
                </c:pt>
                <c:pt idx="11">
                  <c:v>44140</c:v>
                </c:pt>
              </c:numCache>
            </c:numRef>
          </c:val>
          <c:smooth val="0"/>
          <c:extLst>
            <c:ext xmlns:c16="http://schemas.microsoft.com/office/drawing/2014/chart" uri="{C3380CC4-5D6E-409C-BE32-E72D297353CC}">
              <c16:uniqueId val="{00000000-6786-4EC1-B9A3-0DFA1AF31FE0}"/>
            </c:ext>
          </c:extLst>
        </c:ser>
        <c:dLbls>
          <c:dLblPos val="ctr"/>
          <c:showLegendKey val="0"/>
          <c:showVal val="1"/>
          <c:showCatName val="0"/>
          <c:showSerName val="0"/>
          <c:showPercent val="0"/>
          <c:showBubbleSize val="0"/>
        </c:dLbls>
        <c:marker val="1"/>
        <c:smooth val="0"/>
        <c:axId val="46879264"/>
        <c:axId val="816221072"/>
      </c:lineChart>
      <c:catAx>
        <c:axId val="468792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16221072"/>
        <c:crosses val="autoZero"/>
        <c:auto val="1"/>
        <c:lblAlgn val="ctr"/>
        <c:lblOffset val="100"/>
        <c:noMultiLvlLbl val="0"/>
      </c:catAx>
      <c:valAx>
        <c:axId val="8162210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68792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[EXCEL_DB1.xlsx]Sheet1!PivotTable1</c:name>
    <c:fmtId val="2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kern="1200" baseline="0">
                <a:solidFill>
                  <a:schemeClr val="tx1"/>
                </a:solidFill>
              </a:rPr>
              <a:t>SUM OF SALES BY CATEGORY</a:t>
            </a:r>
          </a:p>
        </c:rich>
      </c:tx>
      <c:layout>
        <c:manualLayout>
          <c:xMode val="edge"/>
          <c:yMode val="edge"/>
          <c:x val="0.25789595978046898"/>
          <c:y val="2.9241594996090695E-2"/>
        </c:manualLayout>
      </c:layout>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53814932139535"/>
          <c:y val="0.11076870932856768"/>
          <c:w val="0.74809240621852113"/>
          <c:h val="0.66264454499748615"/>
        </c:manualLayout>
      </c:layout>
      <c:barChart>
        <c:barDir val="col"/>
        <c:grouping val="clustered"/>
        <c:varyColors val="0"/>
        <c:ser>
          <c:idx val="0"/>
          <c:order val="0"/>
          <c:tx>
            <c:strRef>
              <c:f>Sheet1!$BE$8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Sheet1!$BD$9:$BD$13</c:f>
              <c:strCache>
                <c:ptCount val="4"/>
                <c:pt idx="0">
                  <c:v>Electronics</c:v>
                </c:pt>
                <c:pt idx="1">
                  <c:v>Fashion</c:v>
                </c:pt>
                <c:pt idx="2">
                  <c:v>Grocery</c:v>
                </c:pt>
                <c:pt idx="3">
                  <c:v>Home Decor</c:v>
                </c:pt>
              </c:strCache>
            </c:strRef>
          </c:cat>
          <c:val>
            <c:numRef>
              <c:f>Sheet1!$BE$9:$BE$13</c:f>
              <c:numCache>
                <c:formatCode>General</c:formatCode>
                <c:ptCount val="4"/>
                <c:pt idx="0">
                  <c:v>492526</c:v>
                </c:pt>
                <c:pt idx="1">
                  <c:v>136378</c:v>
                </c:pt>
                <c:pt idx="2">
                  <c:v>260135</c:v>
                </c:pt>
                <c:pt idx="3">
                  <c:v>642043</c:v>
                </c:pt>
              </c:numCache>
            </c:numRef>
          </c:val>
          <c:extLst>
            <c:ext xmlns:c16="http://schemas.microsoft.com/office/drawing/2014/chart" uri="{C3380CC4-5D6E-409C-BE32-E72D297353CC}">
              <c16:uniqueId val="{00000000-DFA5-4375-B1F0-4901C6F238A1}"/>
            </c:ext>
          </c:extLst>
        </c:ser>
        <c:dLbls>
          <c:dLblPos val="inEnd"/>
          <c:showLegendKey val="0"/>
          <c:showVal val="1"/>
          <c:showCatName val="0"/>
          <c:showSerName val="0"/>
          <c:showPercent val="0"/>
          <c:showBubbleSize val="0"/>
        </c:dLbls>
        <c:gapWidth val="65"/>
        <c:axId val="343912336"/>
        <c:axId val="2140438895"/>
      </c:barChart>
      <c:catAx>
        <c:axId val="3439123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lumMod val="95000"/>
                    <a:lumOff val="5000"/>
                  </a:schemeClr>
                </a:solidFill>
                <a:latin typeface="+mn-lt"/>
                <a:ea typeface="+mn-ea"/>
                <a:cs typeface="+mn-cs"/>
              </a:defRPr>
            </a:pPr>
            <a:endParaRPr lang="en-US"/>
          </a:p>
        </c:txPr>
        <c:crossAx val="2140438895"/>
        <c:crosses val="autoZero"/>
        <c:auto val="1"/>
        <c:lblAlgn val="ctr"/>
        <c:lblOffset val="100"/>
        <c:noMultiLvlLbl val="0"/>
      </c:catAx>
      <c:valAx>
        <c:axId val="214043889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439123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[EXCEL_DB1.xlsx]Sheet1!PivotTable4</c:name>
    <c:fmtId val="1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US" sz="1800" b="1" i="0" u="none" strike="noStrike" kern="1200" baseline="0">
                <a:solidFill>
                  <a:schemeClr val="tx1"/>
                </a:solidFill>
              </a:rPr>
              <a:t>SUM OF SALES AMOUNT BY PAYMENT TYPE</a:t>
            </a:r>
          </a:p>
        </c:rich>
      </c:tx>
      <c:layout>
        <c:manualLayout>
          <c:xMode val="edge"/>
          <c:yMode val="edge"/>
          <c:x val="0.16736132318319899"/>
          <c:y val="0.11553522445627511"/>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Sheet1!$BE$15</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Sheet1!$BD$16:$BD$20</c:f>
              <c:strCache>
                <c:ptCount val="4"/>
                <c:pt idx="0">
                  <c:v>COD</c:v>
                </c:pt>
                <c:pt idx="1">
                  <c:v>UPI</c:v>
                </c:pt>
                <c:pt idx="2">
                  <c:v>Card</c:v>
                </c:pt>
                <c:pt idx="3">
                  <c:v>NetBanking</c:v>
                </c:pt>
              </c:strCache>
            </c:strRef>
          </c:cat>
          <c:val>
            <c:numRef>
              <c:f>Sheet1!$BE$16:$BE$20</c:f>
              <c:numCache>
                <c:formatCode>General</c:formatCode>
                <c:ptCount val="4"/>
                <c:pt idx="0">
                  <c:v>408526</c:v>
                </c:pt>
                <c:pt idx="1">
                  <c:v>381683</c:v>
                </c:pt>
                <c:pt idx="2">
                  <c:v>381055</c:v>
                </c:pt>
                <c:pt idx="3">
                  <c:v>359818</c:v>
                </c:pt>
              </c:numCache>
            </c:numRef>
          </c:val>
          <c:smooth val="0"/>
          <c:extLst>
            <c:ext xmlns:c16="http://schemas.microsoft.com/office/drawing/2014/chart" uri="{C3380CC4-5D6E-409C-BE32-E72D297353CC}">
              <c16:uniqueId val="{00000000-67C5-438A-AD92-72EF69BACDE8}"/>
            </c:ext>
          </c:extLst>
        </c:ser>
        <c:dLbls>
          <c:dLblPos val="ctr"/>
          <c:showLegendKey val="0"/>
          <c:showVal val="1"/>
          <c:showCatName val="0"/>
          <c:showSerName val="0"/>
          <c:showPercent val="0"/>
          <c:showBubbleSize val="0"/>
        </c:dLbls>
        <c:marker val="1"/>
        <c:smooth val="0"/>
        <c:axId val="343902128"/>
        <c:axId val="2140456655"/>
      </c:lineChart>
      <c:catAx>
        <c:axId val="34390212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lumMod val="95000"/>
                    <a:lumOff val="5000"/>
                  </a:schemeClr>
                </a:solidFill>
                <a:latin typeface="+mn-lt"/>
                <a:ea typeface="+mn-ea"/>
                <a:cs typeface="+mn-cs"/>
              </a:defRPr>
            </a:pPr>
            <a:endParaRPr lang="en-US"/>
          </a:p>
        </c:txPr>
        <c:crossAx val="2140456655"/>
        <c:crosses val="autoZero"/>
        <c:auto val="1"/>
        <c:lblAlgn val="ctr"/>
        <c:lblOffset val="100"/>
        <c:noMultiLvlLbl val="0"/>
      </c:catAx>
      <c:valAx>
        <c:axId val="214045665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4390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[EXCEL_DB1.xlsx]Sheet1!PivotTable10</c:name>
    <c:fmtId val="25"/>
  </c:pivotSource>
  <c:chart>
    <c:title>
      <c:tx>
        <c:rich>
          <a:bodyPr rot="0" spcFirstLastPara="1" vertOverflow="ellipsis" vert="horz" wrap="square" anchor="ctr" anchorCtr="1"/>
          <a:lstStyle/>
          <a:p>
            <a:pPr>
              <a:defRPr sz="1800" b="1" i="0" u="none" strike="noStrike" kern="1200" baseline="0">
                <a:solidFill>
                  <a:schemeClr val="tx1">
                    <a:lumMod val="95000"/>
                    <a:lumOff val="5000"/>
                  </a:schemeClr>
                </a:solidFill>
                <a:latin typeface="+mn-lt"/>
                <a:ea typeface="+mn-ea"/>
                <a:cs typeface="+mn-cs"/>
              </a:defRPr>
            </a:pPr>
            <a:r>
              <a:rPr lang="en-US">
                <a:solidFill>
                  <a:schemeClr val="tx1">
                    <a:lumMod val="95000"/>
                    <a:lumOff val="5000"/>
                  </a:schemeClr>
                </a:solidFill>
              </a:rPr>
              <a:t>TOP</a:t>
            </a:r>
            <a:r>
              <a:rPr lang="en-US" baseline="0">
                <a:solidFill>
                  <a:schemeClr val="tx1">
                    <a:lumMod val="95000"/>
                    <a:lumOff val="5000"/>
                  </a:schemeClr>
                </a:solidFill>
              </a:rPr>
              <a:t> 10 PRODUCTS SOLD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Sheet1!$BE$64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Sheet1!$BD$65:$BD$75</c:f>
              <c:strCache>
                <c:ptCount val="10"/>
                <c:pt idx="0">
                  <c:v>Product_8</c:v>
                </c:pt>
                <c:pt idx="1">
                  <c:v>Product_16</c:v>
                </c:pt>
                <c:pt idx="2">
                  <c:v>Product_12</c:v>
                </c:pt>
                <c:pt idx="3">
                  <c:v>Product_13</c:v>
                </c:pt>
                <c:pt idx="4">
                  <c:v>Product_17</c:v>
                </c:pt>
                <c:pt idx="5">
                  <c:v>Product_20</c:v>
                </c:pt>
                <c:pt idx="6">
                  <c:v>Product_19</c:v>
                </c:pt>
                <c:pt idx="7">
                  <c:v>Product_9</c:v>
                </c:pt>
                <c:pt idx="8">
                  <c:v>Product_3</c:v>
                </c:pt>
                <c:pt idx="9">
                  <c:v>Product_7</c:v>
                </c:pt>
              </c:strCache>
            </c:strRef>
          </c:cat>
          <c:val>
            <c:numRef>
              <c:f>Sheet1!$BE$65:$BE$75</c:f>
              <c:numCache>
                <c:formatCode>General</c:formatCode>
                <c:ptCount val="10"/>
                <c:pt idx="0">
                  <c:v>228956</c:v>
                </c:pt>
                <c:pt idx="1">
                  <c:v>171424</c:v>
                </c:pt>
                <c:pt idx="2">
                  <c:v>127737</c:v>
                </c:pt>
                <c:pt idx="3">
                  <c:v>114030</c:v>
                </c:pt>
                <c:pt idx="4">
                  <c:v>112200</c:v>
                </c:pt>
                <c:pt idx="5">
                  <c:v>91922</c:v>
                </c:pt>
                <c:pt idx="6">
                  <c:v>76587</c:v>
                </c:pt>
                <c:pt idx="7">
                  <c:v>75384</c:v>
                </c:pt>
                <c:pt idx="8">
                  <c:v>75268</c:v>
                </c:pt>
                <c:pt idx="9">
                  <c:v>74750</c:v>
                </c:pt>
              </c:numCache>
            </c:numRef>
          </c:val>
          <c:extLst>
            <c:ext xmlns:c16="http://schemas.microsoft.com/office/drawing/2014/chart" uri="{C3380CC4-5D6E-409C-BE32-E72D297353CC}">
              <c16:uniqueId val="{00000000-CC50-49D0-911A-A91FB949BEBC}"/>
            </c:ext>
          </c:extLst>
        </c:ser>
        <c:dLbls>
          <c:dLblPos val="inEnd"/>
          <c:showLegendKey val="0"/>
          <c:showVal val="1"/>
          <c:showCatName val="0"/>
          <c:showSerName val="0"/>
          <c:showPercent val="0"/>
          <c:showBubbleSize val="0"/>
        </c:dLbls>
        <c:gapWidth val="65"/>
        <c:axId val="965668496"/>
        <c:axId val="346637808"/>
      </c:barChart>
      <c:catAx>
        <c:axId val="9656684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0" spcFirstLastPara="1" vertOverflow="ellipsis" wrap="square" anchor="ctr" anchorCtr="1"/>
          <a:lstStyle/>
          <a:p>
            <a:pPr>
              <a:defRPr sz="900" b="0" i="0" u="none" strike="noStrike" kern="1200" cap="all" baseline="0">
                <a:solidFill>
                  <a:schemeClr val="tx1">
                    <a:lumMod val="95000"/>
                    <a:lumOff val="5000"/>
                  </a:schemeClr>
                </a:solidFill>
                <a:latin typeface="+mn-lt"/>
                <a:ea typeface="+mn-ea"/>
                <a:cs typeface="+mn-cs"/>
              </a:defRPr>
            </a:pPr>
            <a:endParaRPr lang="en-US"/>
          </a:p>
        </c:txPr>
        <c:crossAx val="346637808"/>
        <c:crosses val="autoZero"/>
        <c:auto val="1"/>
        <c:lblAlgn val="ctr"/>
        <c:lblOffset val="100"/>
        <c:noMultiLvlLbl val="0"/>
      </c:catAx>
      <c:valAx>
        <c:axId val="34663780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96566849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1.png"/><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image" Target="../media/image2.svg"/><Relationship Id="rId9"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8.xml"/><Relationship Id="rId7" Type="http://schemas.openxmlformats.org/officeDocument/2006/relationships/image" Target="../media/image2.sv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370828</xdr:colOff>
      <xdr:row>32</xdr:row>
      <xdr:rowOff>156882</xdr:rowOff>
    </xdr:from>
    <xdr:to>
      <xdr:col>21</xdr:col>
      <xdr:colOff>121367</xdr:colOff>
      <xdr:row>47</xdr:row>
      <xdr:rowOff>18964</xdr:rowOff>
    </xdr:to>
    <xdr:graphicFrame macro="">
      <xdr:nvGraphicFramePr>
        <xdr:cNvPr id="3" name="Chart 2">
          <a:extLst>
            <a:ext uri="{FF2B5EF4-FFF2-40B4-BE49-F238E27FC236}">
              <a16:creationId xmlns:a16="http://schemas.microsoft.com/office/drawing/2014/main" id="{F805B49E-F5BB-1845-FEFC-9311E020AD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14826</xdr:colOff>
      <xdr:row>32</xdr:row>
      <xdr:rowOff>145676</xdr:rowOff>
    </xdr:from>
    <xdr:to>
      <xdr:col>38</xdr:col>
      <xdr:colOff>187626</xdr:colOff>
      <xdr:row>46</xdr:row>
      <xdr:rowOff>142228</xdr:rowOff>
    </xdr:to>
    <xdr:graphicFrame macro="">
      <xdr:nvGraphicFramePr>
        <xdr:cNvPr id="4" name="Chart 3">
          <a:extLst>
            <a:ext uri="{FF2B5EF4-FFF2-40B4-BE49-F238E27FC236}">
              <a16:creationId xmlns:a16="http://schemas.microsoft.com/office/drawing/2014/main" id="{5F3DD3F3-DD7D-4B5D-77B2-DDDE4B8A2D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33</xdr:col>
      <xdr:colOff>80335</xdr:colOff>
      <xdr:row>7</xdr:row>
      <xdr:rowOff>141514</xdr:rowOff>
    </xdr:from>
    <xdr:to>
      <xdr:col>37</xdr:col>
      <xdr:colOff>167268</xdr:colOff>
      <xdr:row>11</xdr:row>
      <xdr:rowOff>148683</xdr:rowOff>
    </xdr:to>
    <xdr:pic>
      <xdr:nvPicPr>
        <xdr:cNvPr id="22" name="Graphic 21" descr="Bar chart with solid fill">
          <a:extLst>
            <a:ext uri="{FF2B5EF4-FFF2-40B4-BE49-F238E27FC236}">
              <a16:creationId xmlns:a16="http://schemas.microsoft.com/office/drawing/2014/main" id="{965568C0-F145-0805-5C97-6058EC77353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338920" y="643319"/>
          <a:ext cx="1666689" cy="1047950"/>
        </a:xfrm>
        <a:prstGeom prst="rect">
          <a:avLst/>
        </a:prstGeom>
      </xdr:spPr>
    </xdr:pic>
    <xdr:clientData/>
  </xdr:twoCellAnchor>
  <xdr:twoCellAnchor>
    <xdr:from>
      <xdr:col>5</xdr:col>
      <xdr:colOff>343707</xdr:colOff>
      <xdr:row>15</xdr:row>
      <xdr:rowOff>171872</xdr:rowOff>
    </xdr:from>
    <xdr:to>
      <xdr:col>21</xdr:col>
      <xdr:colOff>78441</xdr:colOff>
      <xdr:row>31</xdr:row>
      <xdr:rowOff>67235</xdr:rowOff>
    </xdr:to>
    <xdr:graphicFrame macro="">
      <xdr:nvGraphicFramePr>
        <xdr:cNvPr id="5" name="Chart 4">
          <a:extLst>
            <a:ext uri="{FF2B5EF4-FFF2-40B4-BE49-F238E27FC236}">
              <a16:creationId xmlns:a16="http://schemas.microsoft.com/office/drawing/2014/main" id="{46FE7A82-4DE8-91CA-2D90-A39FDB428C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336177</xdr:colOff>
      <xdr:row>15</xdr:row>
      <xdr:rowOff>141195</xdr:rowOff>
    </xdr:from>
    <xdr:to>
      <xdr:col>40</xdr:col>
      <xdr:colOff>31103</xdr:colOff>
      <xdr:row>30</xdr:row>
      <xdr:rowOff>172571</xdr:rowOff>
    </xdr:to>
    <xdr:graphicFrame macro="">
      <xdr:nvGraphicFramePr>
        <xdr:cNvPr id="6" name="Chart 5">
          <a:extLst>
            <a:ext uri="{FF2B5EF4-FFF2-40B4-BE49-F238E27FC236}">
              <a16:creationId xmlns:a16="http://schemas.microsoft.com/office/drawing/2014/main" id="{C1B212F7-011C-6267-8ABF-1F6441298F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4512</xdr:colOff>
      <xdr:row>12</xdr:row>
      <xdr:rowOff>2773</xdr:rowOff>
    </xdr:from>
    <xdr:to>
      <xdr:col>13</xdr:col>
      <xdr:colOff>706248</xdr:colOff>
      <xdr:row>15</xdr:row>
      <xdr:rowOff>17318</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D72D3B58-256B-F9CA-92CF-A7581FDE4D6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738640" y="2904858"/>
              <a:ext cx="3960498" cy="7268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148683</xdr:colOff>
      <xdr:row>12</xdr:row>
      <xdr:rowOff>15612</xdr:rowOff>
    </xdr:from>
    <xdr:to>
      <xdr:col>26</xdr:col>
      <xdr:colOff>390295</xdr:colOff>
      <xdr:row>14</xdr:row>
      <xdr:rowOff>128830</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DCC09DF7-5122-C5E4-05AD-CA77538CA2D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887364" y="2917697"/>
              <a:ext cx="4424504" cy="6471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233432</xdr:colOff>
      <xdr:row>12</xdr:row>
      <xdr:rowOff>34198</xdr:rowOff>
    </xdr:from>
    <xdr:to>
      <xdr:col>38</xdr:col>
      <xdr:colOff>74340</xdr:colOff>
      <xdr:row>14</xdr:row>
      <xdr:rowOff>128830</xdr:rowOff>
    </xdr:to>
    <mc:AlternateContent xmlns:mc="http://schemas.openxmlformats.org/markup-compatibility/2006" xmlns:a14="http://schemas.microsoft.com/office/drawing/2010/main">
      <mc:Choice Requires="a14">
        <xdr:graphicFrame macro="">
          <xdr:nvGraphicFramePr>
            <xdr:cNvPr id="11" name="PaymentMethod">
              <a:extLst>
                <a:ext uri="{FF2B5EF4-FFF2-40B4-BE49-F238E27FC236}">
                  <a16:creationId xmlns:a16="http://schemas.microsoft.com/office/drawing/2014/main" id="{D102ABCE-7F28-371A-89C9-22D272F642E2}"/>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3560326" y="2936283"/>
              <a:ext cx="3910314" cy="6285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334856</xdr:colOff>
      <xdr:row>2</xdr:row>
      <xdr:rowOff>113489</xdr:rowOff>
    </xdr:from>
    <xdr:to>
      <xdr:col>37</xdr:col>
      <xdr:colOff>31429</xdr:colOff>
      <xdr:row>5</xdr:row>
      <xdr:rowOff>65548</xdr:rowOff>
    </xdr:to>
    <xdr:pic>
      <xdr:nvPicPr>
        <xdr:cNvPr id="13" name="Picture 12">
          <a:extLst>
            <a:ext uri="{FF2B5EF4-FFF2-40B4-BE49-F238E27FC236}">
              <a16:creationId xmlns:a16="http://schemas.microsoft.com/office/drawing/2014/main" id="{76240684-DFA6-C3D9-A181-5CCA372A3A81}"/>
            </a:ext>
          </a:extLst>
        </xdr:cNvPr>
        <xdr:cNvPicPr>
          <a:picLocks noChangeAspect="1"/>
        </xdr:cNvPicPr>
      </xdr:nvPicPr>
      <xdr:blipFill>
        <a:blip xmlns:r="http://schemas.openxmlformats.org/officeDocument/2006/relationships" r:embed="rId7"/>
        <a:stretch>
          <a:fillRect/>
        </a:stretch>
      </xdr:blipFill>
      <xdr:spPr>
        <a:xfrm>
          <a:off x="16934985" y="474005"/>
          <a:ext cx="966574" cy="771414"/>
        </a:xfrm>
        <a:prstGeom prst="rect">
          <a:avLst/>
        </a:prstGeom>
      </xdr:spPr>
    </xdr:pic>
    <xdr:clientData/>
  </xdr:twoCellAnchor>
  <xdr:twoCellAnchor>
    <xdr:from>
      <xdr:col>5</xdr:col>
      <xdr:colOff>226977</xdr:colOff>
      <xdr:row>48</xdr:row>
      <xdr:rowOff>168613</xdr:rowOff>
    </xdr:from>
    <xdr:to>
      <xdr:col>38</xdr:col>
      <xdr:colOff>194552</xdr:colOff>
      <xdr:row>64</xdr:row>
      <xdr:rowOff>58366</xdr:rowOff>
    </xdr:to>
    <xdr:graphicFrame macro="">
      <xdr:nvGraphicFramePr>
        <xdr:cNvPr id="16" name="Chart 15">
          <a:extLst>
            <a:ext uri="{FF2B5EF4-FFF2-40B4-BE49-F238E27FC236}">
              <a16:creationId xmlns:a16="http://schemas.microsoft.com/office/drawing/2014/main" id="{CC987EA6-48C7-7A78-BCAC-5AE20F6D4E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4</xdr:col>
      <xdr:colOff>224472</xdr:colOff>
      <xdr:row>1</xdr:row>
      <xdr:rowOff>171061</xdr:rowOff>
    </xdr:from>
    <xdr:to>
      <xdr:col>13</xdr:col>
      <xdr:colOff>24987</xdr:colOff>
      <xdr:row>6</xdr:row>
      <xdr:rowOff>238992</xdr:rowOff>
    </xdr:to>
    <xdr:pic>
      <xdr:nvPicPr>
        <xdr:cNvPr id="7" name="Picture 6">
          <a:extLst>
            <a:ext uri="{FF2B5EF4-FFF2-40B4-BE49-F238E27FC236}">
              <a16:creationId xmlns:a16="http://schemas.microsoft.com/office/drawing/2014/main" id="{A2CFAC09-E907-C780-CD18-A10C635269E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449615" y="357673"/>
          <a:ext cx="3672719" cy="1265360"/>
        </a:xfrm>
        <a:prstGeom prst="rect">
          <a:avLst/>
        </a:prstGeom>
      </xdr:spPr>
    </xdr:pic>
    <xdr:clientData/>
  </xdr:twoCellAnchor>
  <xdr:twoCellAnchor>
    <xdr:from>
      <xdr:col>5</xdr:col>
      <xdr:colOff>124409</xdr:colOff>
      <xdr:row>0</xdr:row>
      <xdr:rowOff>139959</xdr:rowOff>
    </xdr:from>
    <xdr:to>
      <xdr:col>40</xdr:col>
      <xdr:colOff>202163</xdr:colOff>
      <xdr:row>64</xdr:row>
      <xdr:rowOff>108857</xdr:rowOff>
    </xdr:to>
    <xdr:sp macro="" textlink="">
      <xdr:nvSpPr>
        <xdr:cNvPr id="12" name="Rectangle 11">
          <a:extLst>
            <a:ext uri="{FF2B5EF4-FFF2-40B4-BE49-F238E27FC236}">
              <a16:creationId xmlns:a16="http://schemas.microsoft.com/office/drawing/2014/main" id="{3AC50741-4923-7A07-01F8-90B8C1CD4D85}"/>
            </a:ext>
          </a:extLst>
        </xdr:cNvPr>
        <xdr:cNvSpPr/>
      </xdr:nvSpPr>
      <xdr:spPr>
        <a:xfrm>
          <a:off x="5022980" y="139959"/>
          <a:ext cx="13233918" cy="12736286"/>
        </a:xfrm>
        <a:prstGeom prst="rect">
          <a:avLst/>
        </a:prstGeom>
        <a:noFill/>
        <a:ln>
          <a:noFill/>
        </a:ln>
      </xdr:spPr>
      <xdr:style>
        <a:lnRef idx="0">
          <a:scrgbClr r="0" g="0" b="0"/>
        </a:lnRef>
        <a:fillRef idx="0">
          <a:scrgbClr r="0" g="0" b="0"/>
        </a:fillRef>
        <a:effectRef idx="0">
          <a:scrgbClr r="0" g="0" b="0"/>
        </a:effectRef>
        <a:fontRef idx="minor">
          <a:schemeClr val="accent4"/>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332233</xdr:colOff>
      <xdr:row>6</xdr:row>
      <xdr:rowOff>70883</xdr:rowOff>
    </xdr:from>
    <xdr:to>
      <xdr:col>22</xdr:col>
      <xdr:colOff>575696</xdr:colOff>
      <xdr:row>71</xdr:row>
      <xdr:rowOff>40877</xdr:rowOff>
    </xdr:to>
    <xdr:sp macro="" textlink="">
      <xdr:nvSpPr>
        <xdr:cNvPr id="3" name="Rectangle 2">
          <a:extLst>
            <a:ext uri="{FF2B5EF4-FFF2-40B4-BE49-F238E27FC236}">
              <a16:creationId xmlns:a16="http://schemas.microsoft.com/office/drawing/2014/main" id="{C5B60909-B333-E84E-9030-564127A4AF3F}"/>
            </a:ext>
          </a:extLst>
        </xdr:cNvPr>
        <xdr:cNvSpPr/>
      </xdr:nvSpPr>
      <xdr:spPr>
        <a:xfrm>
          <a:off x="934745" y="1134139"/>
          <a:ext cx="12896207" cy="1164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579549</xdr:colOff>
      <xdr:row>22</xdr:row>
      <xdr:rowOff>143815</xdr:rowOff>
    </xdr:from>
    <xdr:to>
      <xdr:col>12</xdr:col>
      <xdr:colOff>236110</xdr:colOff>
      <xdr:row>38</xdr:row>
      <xdr:rowOff>85859</xdr:rowOff>
    </xdr:to>
    <xdr:graphicFrame macro="">
      <xdr:nvGraphicFramePr>
        <xdr:cNvPr id="4" name="Chart 3">
          <a:extLst>
            <a:ext uri="{FF2B5EF4-FFF2-40B4-BE49-F238E27FC236}">
              <a16:creationId xmlns:a16="http://schemas.microsoft.com/office/drawing/2014/main" id="{CF9371E2-F4AA-4A75-9FE5-C9C743AE3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386366</xdr:colOff>
      <xdr:row>22</xdr:row>
      <xdr:rowOff>133082</xdr:rowOff>
    </xdr:from>
    <xdr:to>
      <xdr:col>22</xdr:col>
      <xdr:colOff>321971</xdr:colOff>
      <xdr:row>38</xdr:row>
      <xdr:rowOff>59980</xdr:rowOff>
    </xdr:to>
    <xdr:graphicFrame macro="">
      <xdr:nvGraphicFramePr>
        <xdr:cNvPr id="5" name="Chart 4">
          <a:extLst>
            <a:ext uri="{FF2B5EF4-FFF2-40B4-BE49-F238E27FC236}">
              <a16:creationId xmlns:a16="http://schemas.microsoft.com/office/drawing/2014/main" id="{51DB37C8-EB4A-48AE-B2F5-CAFFDCF57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558084</xdr:colOff>
      <xdr:row>39</xdr:row>
      <xdr:rowOff>15026</xdr:rowOff>
    </xdr:from>
    <xdr:to>
      <xdr:col>12</xdr:col>
      <xdr:colOff>225380</xdr:colOff>
      <xdr:row>53</xdr:row>
      <xdr:rowOff>121982</xdr:rowOff>
    </xdr:to>
    <xdr:graphicFrame macro="">
      <xdr:nvGraphicFramePr>
        <xdr:cNvPr id="6" name="Chart 5">
          <a:extLst>
            <a:ext uri="{FF2B5EF4-FFF2-40B4-BE49-F238E27FC236}">
              <a16:creationId xmlns:a16="http://schemas.microsoft.com/office/drawing/2014/main" id="{AE276BAF-5284-4F95-8433-ED2FFE1ABF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375419</xdr:colOff>
      <xdr:row>39</xdr:row>
      <xdr:rowOff>10733</xdr:rowOff>
    </xdr:from>
    <xdr:to>
      <xdr:col>22</xdr:col>
      <xdr:colOff>321971</xdr:colOff>
      <xdr:row>53</xdr:row>
      <xdr:rowOff>118057</xdr:rowOff>
    </xdr:to>
    <xdr:graphicFrame macro="">
      <xdr:nvGraphicFramePr>
        <xdr:cNvPr id="7" name="Chart 6">
          <a:extLst>
            <a:ext uri="{FF2B5EF4-FFF2-40B4-BE49-F238E27FC236}">
              <a16:creationId xmlns:a16="http://schemas.microsoft.com/office/drawing/2014/main" id="{E76F3D58-C9FE-41FC-85CC-63744878CE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536621</xdr:colOff>
      <xdr:row>54</xdr:row>
      <xdr:rowOff>111187</xdr:rowOff>
    </xdr:from>
    <xdr:to>
      <xdr:col>22</xdr:col>
      <xdr:colOff>257578</xdr:colOff>
      <xdr:row>70</xdr:row>
      <xdr:rowOff>67525</xdr:rowOff>
    </xdr:to>
    <xdr:graphicFrame macro="">
      <xdr:nvGraphicFramePr>
        <xdr:cNvPr id="8" name="Chart 7">
          <a:extLst>
            <a:ext uri="{FF2B5EF4-FFF2-40B4-BE49-F238E27FC236}">
              <a16:creationId xmlns:a16="http://schemas.microsoft.com/office/drawing/2014/main" id="{9C15E15C-6F91-48F4-856E-254071FE1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268309</xdr:colOff>
      <xdr:row>8</xdr:row>
      <xdr:rowOff>88604</xdr:rowOff>
    </xdr:from>
    <xdr:to>
      <xdr:col>21</xdr:col>
      <xdr:colOff>567069</xdr:colOff>
      <xdr:row>14</xdr:row>
      <xdr:rowOff>88604</xdr:rowOff>
    </xdr:to>
    <xdr:sp macro="" textlink="">
      <xdr:nvSpPr>
        <xdr:cNvPr id="9" name="TextBox 8">
          <a:extLst>
            <a:ext uri="{FF2B5EF4-FFF2-40B4-BE49-F238E27FC236}">
              <a16:creationId xmlns:a16="http://schemas.microsoft.com/office/drawing/2014/main" id="{BD00294E-C783-929A-54F4-45E65CF92846}"/>
            </a:ext>
          </a:extLst>
        </xdr:cNvPr>
        <xdr:cNvSpPr txBox="1"/>
      </xdr:nvSpPr>
      <xdr:spPr>
        <a:xfrm>
          <a:off x="1473332" y="1506278"/>
          <a:ext cx="11746481" cy="11695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b="1">
              <a:solidFill>
                <a:schemeClr val="accent1">
                  <a:lumMod val="50000"/>
                </a:schemeClr>
              </a:solidFill>
              <a:latin typeface="Algerian" panose="04020705040A02060702" pitchFamily="82" charset="0"/>
            </a:rPr>
            <a:t>                 </a:t>
          </a:r>
          <a:r>
            <a:rPr lang="en-IN" sz="4000" b="1">
              <a:solidFill>
                <a:schemeClr val="accent1">
                  <a:lumMod val="50000"/>
                </a:schemeClr>
              </a:solidFill>
              <a:latin typeface="Algerian" panose="04020705040A02060702" pitchFamily="82" charset="0"/>
            </a:rPr>
            <a:t>2024 SALES AND ORDERS ANALYSIS</a:t>
          </a:r>
          <a:endParaRPr lang="en-IN" sz="4400" b="1">
            <a:solidFill>
              <a:schemeClr val="accent1">
                <a:lumMod val="50000"/>
              </a:schemeClr>
            </a:solidFill>
            <a:latin typeface="Algerian" panose="04020705040A02060702" pitchFamily="82" charset="0"/>
          </a:endParaRPr>
        </a:p>
      </xdr:txBody>
    </xdr:sp>
    <xdr:clientData/>
  </xdr:twoCellAnchor>
  <xdr:twoCellAnchor editAs="oneCell">
    <xdr:from>
      <xdr:col>1</xdr:col>
      <xdr:colOff>581480</xdr:colOff>
      <xdr:row>16</xdr:row>
      <xdr:rowOff>159490</xdr:rowOff>
    </xdr:from>
    <xdr:to>
      <xdr:col>8</xdr:col>
      <xdr:colOff>251153</xdr:colOff>
      <xdr:row>21</xdr:row>
      <xdr:rowOff>101656</xdr:rowOff>
    </xdr:to>
    <mc:AlternateContent xmlns:mc="http://schemas.openxmlformats.org/markup-compatibility/2006">
      <mc:Choice xmlns:a14="http://schemas.microsoft.com/office/drawing/2010/main" Requires="a14">
        <xdr:graphicFrame macro="">
          <xdr:nvGraphicFramePr>
            <xdr:cNvPr id="12" name="Region 1">
              <a:extLst>
                <a:ext uri="{FF2B5EF4-FFF2-40B4-BE49-F238E27FC236}">
                  <a16:creationId xmlns:a16="http://schemas.microsoft.com/office/drawing/2014/main" id="{C254D805-90E8-40BD-8DD1-B9B1421AA6B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83059" y="3127279"/>
              <a:ext cx="3880726" cy="884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302438</xdr:colOff>
      <xdr:row>16</xdr:row>
      <xdr:rowOff>141769</xdr:rowOff>
    </xdr:from>
    <xdr:to>
      <xdr:col>15</xdr:col>
      <xdr:colOff>460601</xdr:colOff>
      <xdr:row>21</xdr:row>
      <xdr:rowOff>108435</xdr:rowOff>
    </xdr:to>
    <mc:AlternateContent xmlns:mc="http://schemas.openxmlformats.org/markup-compatibility/2006">
      <mc:Choice xmlns:a14="http://schemas.microsoft.com/office/drawing/2010/main" Requires="a14">
        <xdr:graphicFrame macro="">
          <xdr:nvGraphicFramePr>
            <xdr:cNvPr id="13" name="Category 1">
              <a:extLst>
                <a:ext uri="{FF2B5EF4-FFF2-40B4-BE49-F238E27FC236}">
                  <a16:creationId xmlns:a16="http://schemas.microsoft.com/office/drawing/2014/main" id="{73A954C6-335F-4F1E-A2A1-FA5D7EC9E55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5115070" y="3109558"/>
              <a:ext cx="4369215" cy="909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549283</xdr:colOff>
      <xdr:row>16</xdr:row>
      <xdr:rowOff>141768</xdr:rowOff>
    </xdr:from>
    <xdr:to>
      <xdr:col>22</xdr:col>
      <xdr:colOff>182332</xdr:colOff>
      <xdr:row>21</xdr:row>
      <xdr:rowOff>76237</xdr:rowOff>
    </xdr:to>
    <mc:AlternateContent xmlns:mc="http://schemas.openxmlformats.org/markup-compatibility/2006">
      <mc:Choice xmlns:a14="http://schemas.microsoft.com/office/drawing/2010/main" Requires="a14">
        <xdr:graphicFrame macro="">
          <xdr:nvGraphicFramePr>
            <xdr:cNvPr id="14" name="PaymentMethod 1">
              <a:extLst>
                <a:ext uri="{FF2B5EF4-FFF2-40B4-BE49-F238E27FC236}">
                  <a16:creationId xmlns:a16="http://schemas.microsoft.com/office/drawing/2014/main" id="{D1C6641A-3C8C-44CD-8EF5-1D9499519639}"/>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dr:sp macro="" textlink="">
          <xdr:nvSpPr>
            <xdr:cNvPr id="0" name=""/>
            <xdr:cNvSpPr>
              <a:spLocks noTextEdit="1"/>
            </xdr:cNvSpPr>
          </xdr:nvSpPr>
          <xdr:spPr>
            <a:xfrm>
              <a:off x="9572967" y="3109557"/>
              <a:ext cx="3844102" cy="8769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54</xdr:col>
      <xdr:colOff>80335</xdr:colOff>
      <xdr:row>9</xdr:row>
      <xdr:rowOff>141514</xdr:rowOff>
    </xdr:from>
    <xdr:to>
      <xdr:col>56</xdr:col>
      <xdr:colOff>555888</xdr:colOff>
      <xdr:row>15</xdr:row>
      <xdr:rowOff>40914</xdr:rowOff>
    </xdr:to>
    <xdr:pic>
      <xdr:nvPicPr>
        <xdr:cNvPr id="18" name="Graphic 17" descr="Bar chart with solid fill">
          <a:extLst>
            <a:ext uri="{FF2B5EF4-FFF2-40B4-BE49-F238E27FC236}">
              <a16:creationId xmlns:a16="http://schemas.microsoft.com/office/drawing/2014/main" id="{FA511D8A-2A6A-4391-A3E2-7AD4AEA10FB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6730035" y="1772194"/>
          <a:ext cx="1694753" cy="1051109"/>
        </a:xfrm>
        <a:prstGeom prst="rect">
          <a:avLst/>
        </a:prstGeom>
      </xdr:spPr>
    </xdr:pic>
    <xdr:clientData/>
  </xdr:twoCellAnchor>
  <xdr:twoCellAnchor editAs="oneCell">
    <xdr:from>
      <xdr:col>55</xdr:col>
      <xdr:colOff>334856</xdr:colOff>
      <xdr:row>4</xdr:row>
      <xdr:rowOff>113489</xdr:rowOff>
    </xdr:from>
    <xdr:to>
      <xdr:col>57</xdr:col>
      <xdr:colOff>77149</xdr:colOff>
      <xdr:row>8</xdr:row>
      <xdr:rowOff>156988</xdr:rowOff>
    </xdr:to>
    <xdr:pic>
      <xdr:nvPicPr>
        <xdr:cNvPr id="19" name="Picture 18">
          <a:extLst>
            <a:ext uri="{FF2B5EF4-FFF2-40B4-BE49-F238E27FC236}">
              <a16:creationId xmlns:a16="http://schemas.microsoft.com/office/drawing/2014/main" id="{E2C1142F-B4CE-499A-B2C7-9F528A004240}"/>
            </a:ext>
          </a:extLst>
        </xdr:cNvPr>
        <xdr:cNvPicPr>
          <a:picLocks noChangeAspect="1"/>
        </xdr:cNvPicPr>
      </xdr:nvPicPr>
      <xdr:blipFill>
        <a:blip xmlns:r="http://schemas.openxmlformats.org/officeDocument/2006/relationships" r:embed="rId8"/>
        <a:stretch>
          <a:fillRect/>
        </a:stretch>
      </xdr:blipFill>
      <xdr:spPr>
        <a:xfrm>
          <a:off x="17327456" y="479249"/>
          <a:ext cx="961493" cy="775019"/>
        </a:xfrm>
        <a:prstGeom prst="rect">
          <a:avLst/>
        </a:prstGeom>
      </xdr:spPr>
    </xdr:pic>
    <xdr:clientData/>
  </xdr:twoCellAnchor>
  <xdr:twoCellAnchor>
    <xdr:from>
      <xdr:col>27</xdr:col>
      <xdr:colOff>23092</xdr:colOff>
      <xdr:row>3</xdr:row>
      <xdr:rowOff>92363</xdr:rowOff>
    </xdr:from>
    <xdr:to>
      <xdr:col>59</xdr:col>
      <xdr:colOff>554182</xdr:colOff>
      <xdr:row>19</xdr:row>
      <xdr:rowOff>115454</xdr:rowOff>
    </xdr:to>
    <xdr:sp macro="" textlink="">
      <xdr:nvSpPr>
        <xdr:cNvPr id="26" name="Rectangle 25">
          <a:extLst>
            <a:ext uri="{FF2B5EF4-FFF2-40B4-BE49-F238E27FC236}">
              <a16:creationId xmlns:a16="http://schemas.microsoft.com/office/drawing/2014/main" id="{CA896659-8FF1-8223-AF23-A3DE62F9C6D5}"/>
            </a:ext>
          </a:extLst>
        </xdr:cNvPr>
        <xdr:cNvSpPr/>
      </xdr:nvSpPr>
      <xdr:spPr>
        <a:xfrm>
          <a:off x="16232910" y="646545"/>
          <a:ext cx="19742727" cy="3071091"/>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IN" sz="1100"/>
        </a:p>
      </xdr:txBody>
    </xdr:sp>
    <xdr:clientData/>
  </xdr:twoCellAnchor>
  <xdr:twoCellAnchor editAs="oneCell">
    <xdr:from>
      <xdr:col>1</xdr:col>
      <xdr:colOff>362110</xdr:colOff>
      <xdr:row>9</xdr:row>
      <xdr:rowOff>2946</xdr:rowOff>
    </xdr:from>
    <xdr:to>
      <xdr:col>8</xdr:col>
      <xdr:colOff>148184</xdr:colOff>
      <xdr:row>16</xdr:row>
      <xdr:rowOff>6019</xdr:rowOff>
    </xdr:to>
    <xdr:pic>
      <xdr:nvPicPr>
        <xdr:cNvPr id="27" name="Picture 26">
          <a:extLst>
            <a:ext uri="{FF2B5EF4-FFF2-40B4-BE49-F238E27FC236}">
              <a16:creationId xmlns:a16="http://schemas.microsoft.com/office/drawing/2014/main" id="{960BA690-4F7A-4257-95BA-87414317BCF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64622" y="1597830"/>
          <a:ext cx="4003655" cy="134986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hvika" refreshedDate="46279.842894907408" createdVersion="8" refreshedVersion="8" minRefreshableVersion="3" recordCount="246" xr:uid="{A190F8EE-7903-4A01-B6EB-EDA5620BBB5E}">
  <cacheSource type="worksheet">
    <worksheetSource name="Table1"/>
  </cacheSource>
  <cacheFields count="13">
    <cacheField name="OrderID" numFmtId="0">
      <sharedItems containsSemiMixedTypes="0" containsString="0" containsNumber="1" containsInteger="1" minValue="1001" maxValue="2082"/>
    </cacheField>
    <cacheField name="OrderDate" numFmtId="14">
      <sharedItems containsSemiMixedTypes="0" containsNonDate="0" containsDate="1" containsString="0" minDate="2024-01-01T00:00:00" maxDate="2024-12-29T00:00:00" count="168">
        <d v="2024-05-21T00:00:00"/>
        <d v="2024-01-18T00:00:00"/>
        <d v="2024-03-28T00:00:00"/>
        <d v="2024-03-29T00:00:00"/>
        <d v="2024-05-25T00:00:00"/>
        <d v="2024-06-28T00:00:00"/>
        <d v="2024-02-14T00:00:00"/>
        <d v="2024-04-13T00:00:00"/>
        <d v="2024-04-22T00:00:00"/>
        <d v="2024-02-11T00:00:00"/>
        <d v="2024-03-26T00:00:00"/>
        <d v="2024-04-05T00:00:00"/>
        <d v="2024-05-22T00:00:00"/>
        <d v="2024-06-15T00:00:00"/>
        <d v="2024-02-20T00:00:00"/>
        <d v="2024-05-29T00:00:00"/>
        <d v="2024-04-26T00:00:00"/>
        <d v="2024-05-05T00:00:00"/>
        <d v="2024-03-23T00:00:00"/>
        <d v="2024-03-15T00:00:00"/>
        <d v="2024-03-03T00:00:00"/>
        <d v="2024-06-24T00:00:00"/>
        <d v="2024-01-05T00:00:00"/>
        <d v="2024-03-11T00:00:00"/>
        <d v="2024-05-15T00:00:00"/>
        <d v="2024-04-18T00:00:00"/>
        <d v="2024-02-16T00:00:00"/>
        <d v="2024-02-04T00:00:00"/>
        <d v="2024-03-06T00:00:00"/>
        <d v="2024-04-12T00:00:00"/>
        <d v="2024-05-20T00:00:00"/>
        <d v="2024-02-28T00:00:00"/>
        <d v="2024-01-24T00:00:00"/>
        <d v="2024-06-12T00:00:00"/>
        <d v="2024-06-27T00:00:00"/>
        <d v="2024-05-24T00:00:00"/>
        <d v="2024-05-02T00:00:00"/>
        <d v="2024-05-23T00:00:00"/>
        <d v="2024-05-28T00:00:00"/>
        <d v="2024-05-16T00:00:00"/>
        <d v="2024-03-30T00:00:00"/>
        <d v="2024-06-11T00:00:00"/>
        <d v="2024-01-07T00:00:00"/>
        <d v="2024-06-13T00:00:00"/>
        <d v="2024-01-15T00:00:00"/>
        <d v="2024-06-03T00:00:00"/>
        <d v="2024-01-20T00:00:00"/>
        <d v="2024-01-11T00:00:00"/>
        <d v="2024-04-08T00:00:00"/>
        <d v="2024-01-26T00:00:00"/>
        <d v="2024-04-19T00:00:00"/>
        <d v="2024-06-10T00:00:00"/>
        <d v="2024-02-15T00:00:00"/>
        <d v="2024-05-31T00:00:00"/>
        <d v="2024-06-30T00:00:00"/>
        <d v="2024-06-26T00:00:00"/>
        <d v="2024-05-03T00:00:00"/>
        <d v="2024-06-06T00:00:00"/>
        <d v="2024-04-20T00:00:00"/>
        <d v="2024-04-02T00:00:00"/>
        <d v="2024-01-27T00:00:00"/>
        <d v="2024-04-07T00:00:00"/>
        <d v="2024-03-18T00:00:00"/>
        <d v="2024-04-28T00:00:00"/>
        <d v="2024-04-27T00:00:00"/>
        <d v="2024-02-07T00:00:00"/>
        <d v="2024-03-31T00:00:00"/>
        <d v="2024-05-01T00:00:00"/>
        <d v="2024-06-05T00:00:00"/>
        <d v="2024-06-19T00:00:00"/>
        <d v="2024-02-13T00:00:00"/>
        <d v="2024-03-19T00:00:00"/>
        <d v="2024-03-25T00:00:00"/>
        <d v="2024-05-14T00:00:00"/>
        <d v="2024-05-12T00:00:00"/>
        <d v="2024-05-07T00:00:00"/>
        <d v="2024-02-29T00:00:00"/>
        <d v="2024-03-17T00:00:00"/>
        <d v="2024-03-13T00:00:00"/>
        <d v="2024-01-04T00:00:00"/>
        <d v="2024-03-16T00:00:00"/>
        <d v="2024-02-10T00:00:00"/>
        <d v="2024-02-17T00:00:00"/>
        <d v="2024-03-02T00:00:00"/>
        <d v="2024-02-09T00:00:00"/>
        <d v="2024-01-28T00:00:00"/>
        <d v="2024-03-01T00:00:00"/>
        <d v="2024-01-23T00:00:00"/>
        <d v="2024-04-30T00:00:00"/>
        <d v="2024-01-21T00:00:00"/>
        <d v="2024-05-18T00:00:00"/>
        <d v="2024-05-04T00:00:00"/>
        <d v="2024-03-07T00:00:00"/>
        <d v="2024-05-26T00:00:00"/>
        <d v="2024-02-05T00:00:00"/>
        <d v="2024-04-09T00:00:00"/>
        <d v="2024-06-21T00:00:00"/>
        <d v="2024-03-04T00:00:00"/>
        <d v="2024-01-10T00:00:00"/>
        <d v="2024-02-22T00:00:00"/>
        <d v="2024-05-10T00:00:00"/>
        <d v="2024-03-14T00:00:00"/>
        <d v="2024-02-02T00:00:00"/>
        <d v="2024-04-15T00:00:00"/>
        <d v="2024-04-01T00:00:00"/>
        <d v="2024-02-25T00:00:00"/>
        <d v="2024-01-12T00:00:00"/>
        <d v="2024-03-12T00:00:00"/>
        <d v="2024-04-14T00:00:00"/>
        <d v="2024-01-02T00:00:00"/>
        <d v="2024-02-18T00:00:00"/>
        <d v="2024-05-11T00:00:00"/>
        <d v="2024-02-03T00:00:00"/>
        <d v="2024-01-19T00:00:00"/>
        <d v="2024-02-06T00:00:00"/>
        <d v="2024-02-19T00:00:00"/>
        <d v="2024-03-05T00:00:00"/>
        <d v="2024-05-19T00:00:00"/>
        <d v="2024-06-20T00:00:00"/>
        <d v="2024-05-30T00:00:00"/>
        <d v="2024-02-01T00:00:00"/>
        <d v="2024-05-08T00:00:00"/>
        <d v="2024-03-24T00:00:00"/>
        <d v="2024-01-01T00:00:00"/>
        <d v="2024-02-21T00:00:00"/>
        <d v="2024-08-31T00:00:00"/>
        <d v="2024-09-07T00:00:00"/>
        <d v="2024-09-26T00:00:00"/>
        <d v="2024-12-14T00:00:00"/>
        <d v="2024-09-12T00:00:00"/>
        <d v="2024-09-06T00:00:00"/>
        <d v="2024-08-12T00:00:00"/>
        <d v="2024-12-25T00:00:00"/>
        <d v="2024-10-23T00:00:00"/>
        <d v="2024-11-03T00:00:00"/>
        <d v="2024-10-03T00:00:00"/>
        <d v="2024-12-20T00:00:00"/>
        <d v="2024-10-01T00:00:00"/>
        <d v="2024-08-06T00:00:00"/>
        <d v="2024-12-06T00:00:00"/>
        <d v="2024-10-29T00:00:00"/>
        <d v="2024-10-14T00:00:00"/>
        <d v="2024-10-09T00:00:00"/>
        <d v="2024-08-25T00:00:00"/>
        <d v="2024-07-03T00:00:00"/>
        <d v="2024-09-20T00:00:00"/>
        <d v="2024-10-05T00:00:00"/>
        <d v="2024-09-29T00:00:00"/>
        <d v="2024-07-17T00:00:00"/>
        <d v="2024-12-24T00:00:00"/>
        <d v="2024-09-05T00:00:00"/>
        <d v="2024-08-09T00:00:00"/>
        <d v="2024-07-01T00:00:00"/>
        <d v="2024-11-25T00:00:00"/>
        <d v="2024-07-06T00:00:00"/>
        <d v="2024-11-29T00:00:00"/>
        <d v="2024-11-07T00:00:00"/>
        <d v="2024-12-28T00:00:00"/>
        <d v="2024-08-30T00:00:00"/>
        <d v="2024-11-12T00:00:00"/>
        <d v="2024-07-23T00:00:00"/>
        <d v="2024-07-15T00:00:00"/>
        <d v="2024-08-01T00:00:00"/>
        <d v="2024-08-16T00:00:00"/>
        <d v="2024-12-13T00:00:00"/>
        <d v="2024-10-13T00:00:00"/>
        <d v="2024-12-09T00:00:00"/>
        <d v="2024-07-05T00:00:00"/>
      </sharedItems>
      <fieldGroup par="12"/>
    </cacheField>
    <cacheField name="CustomerID" numFmtId="0">
      <sharedItems containsSemiMixedTypes="0" containsString="0" containsNumber="1" containsInteger="1" minValue="1" maxValue="50"/>
    </cacheField>
    <cacheField name="CustomerName" numFmtId="0">
      <sharedItems count="50">
        <s v="Customer_2"/>
        <s v="Customer_37"/>
        <s v="Customer_9"/>
        <s v="Customer_40"/>
        <s v="Customer_48"/>
        <s v="Customer_25"/>
        <s v="Customer_30"/>
        <s v="Customer_5"/>
        <s v="Customer_39"/>
        <s v="Customer_7"/>
        <s v="Customer_29"/>
        <s v="Customer_45"/>
        <s v="Customer_16"/>
        <s v="Customer_17"/>
        <s v="Customer_26"/>
        <s v="Customer_1"/>
        <s v="Customer_31"/>
        <s v="Customer_38"/>
        <s v="Customer_28"/>
        <s v="Customer_35"/>
        <s v="Customer_46"/>
        <s v="Customer_12"/>
        <s v="Customer_4"/>
        <s v="Customer_21"/>
        <s v="Customer_27"/>
        <s v="Customer_36"/>
        <s v="Customer_10"/>
        <s v="Customer_49"/>
        <s v="Customer_23"/>
        <s v="Customer_22"/>
        <s v="Customer_6"/>
        <s v="Customer_15"/>
        <s v="Customer_44"/>
        <s v="Customer_8"/>
        <s v="Customer_34"/>
        <s v="Customer_43"/>
        <s v="Customer_32"/>
        <s v="Customer_33"/>
        <s v="Customer_24"/>
        <s v="Customer_19"/>
        <s v="Customer_47"/>
        <s v="Customer_50"/>
        <s v="Customer_13"/>
        <s v="Customer_3"/>
        <s v="Customer_14"/>
        <s v="Customer_11"/>
        <s v="Customer_42"/>
        <s v="Customer_41"/>
        <s v="Customer_20"/>
        <s v="Customer_18"/>
      </sharedItems>
    </cacheField>
    <cacheField name="Region" numFmtId="0">
      <sharedItems count="4">
        <s v="East"/>
        <s v="North"/>
        <s v="South"/>
        <s v="West"/>
      </sharedItems>
    </cacheField>
    <cacheField name="ProductID" numFmtId="0">
      <sharedItems containsSemiMixedTypes="0" containsString="0" containsNumber="1" containsInteger="1" minValue="1" maxValue="20"/>
    </cacheField>
    <cacheField name="ProductName" numFmtId="0">
      <sharedItems count="20">
        <s v="Product_9"/>
        <s v="Product_19"/>
        <s v="Product_12"/>
        <s v="Product_14"/>
        <s v="Product_17"/>
        <s v="Product_18"/>
        <s v="Product_13"/>
        <s v="Product_5"/>
        <s v="Product_1"/>
        <s v="Product_8"/>
        <s v="Product_2"/>
        <s v="Product_4"/>
        <s v="Product_16"/>
        <s v="Product_10"/>
        <s v="Product_15"/>
        <s v="Product_7"/>
        <s v="Product_6"/>
        <s v="Product_11"/>
        <s v="Product_20"/>
        <s v="Product_3"/>
      </sharedItems>
    </cacheField>
    <cacheField name="Category" numFmtId="0">
      <sharedItems count="4">
        <s v="Grocery"/>
        <s v="Home Decor"/>
        <s v="Electronics"/>
        <s v="Fashion"/>
      </sharedItems>
    </cacheField>
    <cacheField name="Quantity" numFmtId="0">
      <sharedItems containsSemiMixedTypes="0" containsString="0" containsNumber="1" containsInteger="1" minValue="1" maxValue="10"/>
    </cacheField>
    <cacheField name="Price" numFmtId="0">
      <sharedItems containsSemiMixedTypes="0" containsString="0" containsNumber="1" containsInteger="1" minValue="204" maxValue="1948"/>
    </cacheField>
    <cacheField name="TotalAmount" numFmtId="0">
      <sharedItems containsSemiMixedTypes="0" containsString="0" containsNumber="1" containsInteger="1" minValue="273" maxValue="19480"/>
    </cacheField>
    <cacheField name="PaymentMethod" numFmtId="0">
      <sharedItems count="4">
        <s v="UPI"/>
        <s v="NetBanking"/>
        <s v="COD"/>
        <s v="Card"/>
      </sharedItems>
    </cacheField>
    <cacheField name="Months (OrderDate)" numFmtId="0" databaseField="0">
      <fieldGroup base="1">
        <rangePr groupBy="months" startDate="2024-01-01T00:00:00" endDate="2024-12-29T00:00:00"/>
        <groupItems count="14">
          <s v="&lt;01-01-2024"/>
          <s v="Jan"/>
          <s v="Feb"/>
          <s v="Mar"/>
          <s v="Apr"/>
          <s v="May"/>
          <s v="Jun"/>
          <s v="Jul"/>
          <s v="Aug"/>
          <s v="Sep"/>
          <s v="Oct"/>
          <s v="Nov"/>
          <s v="Dec"/>
          <s v="&gt;29-12-2024"/>
        </groupItems>
      </fieldGroup>
    </cacheField>
  </cacheFields>
  <extLst>
    <ext xmlns:x14="http://schemas.microsoft.com/office/spreadsheetml/2009/9/main" uri="{725AE2AE-9491-48be-B2B4-4EB974FC3084}">
      <x14:pivotCacheDefinition pivotCacheId="168253739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hvika" refreshedDate="46288.524097222224" createdVersion="8" refreshedVersion="8" minRefreshableVersion="3" recordCount="0" supportSubquery="1" supportAdvancedDrill="1" xr:uid="{60EF40F5-440B-4B29-B848-DB94C35B3A6B}">
  <cacheSource type="external" connectionId="1"/>
  <cacheFields count="1">
    <cacheField name="[Measures].[Distinct Count of CustomerID]" caption="Distinct Count of CustomerID" numFmtId="0" hierarchy="13" level="32767"/>
  </cacheFields>
  <cacheHierarchies count="17">
    <cacheHierarchy uniqueName="[Table1].[OrderID]" caption="OrderID" attribute="1" defaultMemberUniqueName="[Table1].[OrderID].[All]" allUniqueName="[Table1].[OrderID].[All]" dimensionUniqueName="[Table1]" displayFolder="" count="0" memberValueDatatype="20" unbalanced="0"/>
    <cacheHierarchy uniqueName="[Table1].[OrderDate]" caption="OrderDate" attribute="1" time="1" defaultMemberUniqueName="[Table1].[OrderDate].[All]" allUniqueName="[Table1].[Order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2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20" unbalanced="0"/>
    <cacheHierarchy uniqueName="[Table1].[ProductName]" caption="ProductName" attribute="1" defaultMemberUniqueName="[Table1].[ProductName].[All]" allUniqueName="[Table1].[Product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caption="Price" attribute="1" defaultMemberUniqueName="[Table1].[Price].[All]" allUniqueName="[Table1].[Price].[All]" dimensionUniqueName="[Table1]" displayFolder="" count="0" memberValueDatatype="20" unbalanced="0"/>
    <cacheHierarchy uniqueName="[Table1].[TotalAmount]" caption="TotalAmount" attribute="1" defaultMemberUniqueName="[Table1].[TotalAmount].[All]" allUniqueName="[Table1].[TotalAmount].[All]" dimensionUniqueName="[Table1]" displayFolder="" count="0" memberValueDatatype="2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Measures].[Sum of CustomerID]" caption="Sum of CustomerID" measure="1" displayFolder="" measureGroup="Table1" count="0">
      <extLst>
        <ext xmlns:x15="http://schemas.microsoft.com/office/spreadsheetml/2010/11/main" uri="{B97F6D7D-B522-45F9-BDA1-12C45D357490}">
          <x15:cacheHierarchy aggregatedColumn="2"/>
        </ext>
      </extLst>
    </cacheHierarchy>
    <cacheHierarchy uniqueName="[Measures].[Distinct Count of CustomerID]" caption="Distinct Count of CustomerID" measure="1" displayFolder="" measureGroup="Table1" count="0" oneField="1">
      <fieldsUsage count="1">
        <fieldUsage x="0"/>
      </fieldsUsage>
      <extLst>
        <ext xmlns:x15="http://schemas.microsoft.com/office/spreadsheetml/2010/11/main" uri="{B97F6D7D-B522-45F9-BDA1-12C45D357490}">
          <x15:cacheHierarchy aggregatedColumn="2"/>
        </ext>
      </extLst>
    </cacheHierarchy>
    <cacheHierarchy uniqueName="[Measures].[measure 1]" caption="measure 1"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6">
  <r>
    <n v="1001"/>
    <x v="0"/>
    <n v="2"/>
    <x v="0"/>
    <x v="0"/>
    <n v="9"/>
    <x v="0"/>
    <x v="0"/>
    <n v="9"/>
    <n v="1047"/>
    <n v="9423"/>
    <x v="0"/>
  </r>
  <r>
    <n v="1002"/>
    <x v="1"/>
    <n v="37"/>
    <x v="1"/>
    <x v="1"/>
    <n v="19"/>
    <x v="1"/>
    <x v="1"/>
    <n v="1"/>
    <n v="1563"/>
    <n v="1563"/>
    <x v="1"/>
  </r>
  <r>
    <n v="1003"/>
    <x v="2"/>
    <n v="9"/>
    <x v="2"/>
    <x v="2"/>
    <n v="12"/>
    <x v="2"/>
    <x v="1"/>
    <n v="4"/>
    <n v="1539"/>
    <n v="6156"/>
    <x v="2"/>
  </r>
  <r>
    <n v="1004"/>
    <x v="3"/>
    <n v="40"/>
    <x v="3"/>
    <x v="3"/>
    <n v="14"/>
    <x v="3"/>
    <x v="0"/>
    <n v="3"/>
    <n v="204"/>
    <n v="612"/>
    <x v="1"/>
  </r>
  <r>
    <n v="1005"/>
    <x v="4"/>
    <n v="40"/>
    <x v="3"/>
    <x v="3"/>
    <n v="14"/>
    <x v="3"/>
    <x v="0"/>
    <n v="9"/>
    <n v="204"/>
    <n v="1836"/>
    <x v="2"/>
  </r>
  <r>
    <n v="1006"/>
    <x v="5"/>
    <n v="48"/>
    <x v="4"/>
    <x v="0"/>
    <n v="17"/>
    <x v="4"/>
    <x v="2"/>
    <n v="4"/>
    <n v="1320"/>
    <n v="5280"/>
    <x v="2"/>
  </r>
  <r>
    <n v="1007"/>
    <x v="6"/>
    <n v="25"/>
    <x v="5"/>
    <x v="0"/>
    <n v="18"/>
    <x v="5"/>
    <x v="1"/>
    <n v="1"/>
    <n v="1099"/>
    <n v="1099"/>
    <x v="3"/>
  </r>
  <r>
    <n v="1008"/>
    <x v="7"/>
    <n v="30"/>
    <x v="6"/>
    <x v="3"/>
    <n v="12"/>
    <x v="2"/>
    <x v="1"/>
    <n v="10"/>
    <n v="1539"/>
    <n v="15390"/>
    <x v="1"/>
  </r>
  <r>
    <n v="1009"/>
    <x v="8"/>
    <n v="5"/>
    <x v="7"/>
    <x v="3"/>
    <n v="13"/>
    <x v="6"/>
    <x v="1"/>
    <n v="6"/>
    <n v="1267"/>
    <n v="7602"/>
    <x v="1"/>
  </r>
  <r>
    <n v="1010"/>
    <x v="9"/>
    <n v="39"/>
    <x v="8"/>
    <x v="0"/>
    <n v="5"/>
    <x v="7"/>
    <x v="2"/>
    <n v="1"/>
    <n v="632"/>
    <n v="632"/>
    <x v="1"/>
  </r>
  <r>
    <n v="1011"/>
    <x v="10"/>
    <n v="7"/>
    <x v="9"/>
    <x v="3"/>
    <n v="17"/>
    <x v="4"/>
    <x v="2"/>
    <n v="6"/>
    <n v="1320"/>
    <n v="7920"/>
    <x v="2"/>
  </r>
  <r>
    <n v="1012"/>
    <x v="11"/>
    <n v="29"/>
    <x v="10"/>
    <x v="3"/>
    <n v="9"/>
    <x v="0"/>
    <x v="0"/>
    <n v="5"/>
    <n v="1047"/>
    <n v="5235"/>
    <x v="0"/>
  </r>
  <r>
    <n v="1013"/>
    <x v="12"/>
    <n v="45"/>
    <x v="11"/>
    <x v="0"/>
    <n v="1"/>
    <x v="8"/>
    <x v="0"/>
    <n v="1"/>
    <n v="574"/>
    <n v="574"/>
    <x v="3"/>
  </r>
  <r>
    <n v="1014"/>
    <x v="13"/>
    <n v="16"/>
    <x v="12"/>
    <x v="1"/>
    <n v="8"/>
    <x v="9"/>
    <x v="1"/>
    <n v="9"/>
    <n v="1924"/>
    <n v="17316"/>
    <x v="2"/>
  </r>
  <r>
    <n v="1015"/>
    <x v="14"/>
    <n v="17"/>
    <x v="13"/>
    <x v="3"/>
    <n v="17"/>
    <x v="4"/>
    <x v="2"/>
    <n v="2"/>
    <n v="1320"/>
    <n v="2640"/>
    <x v="2"/>
  </r>
  <r>
    <n v="1016"/>
    <x v="15"/>
    <n v="26"/>
    <x v="14"/>
    <x v="0"/>
    <n v="8"/>
    <x v="9"/>
    <x v="1"/>
    <n v="8"/>
    <n v="1924"/>
    <n v="15392"/>
    <x v="2"/>
  </r>
  <r>
    <n v="1017"/>
    <x v="16"/>
    <n v="25"/>
    <x v="5"/>
    <x v="0"/>
    <n v="8"/>
    <x v="9"/>
    <x v="1"/>
    <n v="6"/>
    <n v="1924"/>
    <n v="11544"/>
    <x v="3"/>
  </r>
  <r>
    <n v="1018"/>
    <x v="17"/>
    <n v="1"/>
    <x v="15"/>
    <x v="2"/>
    <n v="8"/>
    <x v="9"/>
    <x v="1"/>
    <n v="10"/>
    <n v="1924"/>
    <n v="19240"/>
    <x v="0"/>
  </r>
  <r>
    <n v="1019"/>
    <x v="18"/>
    <n v="16"/>
    <x v="12"/>
    <x v="1"/>
    <n v="14"/>
    <x v="3"/>
    <x v="0"/>
    <n v="3"/>
    <n v="204"/>
    <n v="612"/>
    <x v="1"/>
  </r>
  <r>
    <n v="1020"/>
    <x v="11"/>
    <n v="31"/>
    <x v="16"/>
    <x v="2"/>
    <n v="2"/>
    <x v="10"/>
    <x v="1"/>
    <n v="7"/>
    <n v="481"/>
    <n v="3367"/>
    <x v="1"/>
  </r>
  <r>
    <n v="1021"/>
    <x v="19"/>
    <n v="38"/>
    <x v="17"/>
    <x v="1"/>
    <n v="8"/>
    <x v="9"/>
    <x v="1"/>
    <n v="1"/>
    <n v="1924"/>
    <n v="1924"/>
    <x v="0"/>
  </r>
  <r>
    <n v="1022"/>
    <x v="20"/>
    <n v="28"/>
    <x v="18"/>
    <x v="1"/>
    <n v="4"/>
    <x v="11"/>
    <x v="0"/>
    <n v="10"/>
    <n v="1380"/>
    <n v="13800"/>
    <x v="2"/>
  </r>
  <r>
    <n v="1023"/>
    <x v="21"/>
    <n v="35"/>
    <x v="19"/>
    <x v="0"/>
    <n v="9"/>
    <x v="0"/>
    <x v="0"/>
    <n v="2"/>
    <n v="1047"/>
    <n v="2094"/>
    <x v="3"/>
  </r>
  <r>
    <n v="1024"/>
    <x v="22"/>
    <n v="46"/>
    <x v="20"/>
    <x v="2"/>
    <n v="16"/>
    <x v="12"/>
    <x v="2"/>
    <n v="10"/>
    <n v="1948"/>
    <n v="19480"/>
    <x v="0"/>
  </r>
  <r>
    <n v="1025"/>
    <x v="23"/>
    <n v="12"/>
    <x v="21"/>
    <x v="2"/>
    <n v="9"/>
    <x v="0"/>
    <x v="0"/>
    <n v="6"/>
    <n v="1047"/>
    <n v="6282"/>
    <x v="2"/>
  </r>
  <r>
    <n v="1026"/>
    <x v="24"/>
    <n v="48"/>
    <x v="4"/>
    <x v="0"/>
    <n v="8"/>
    <x v="9"/>
    <x v="1"/>
    <n v="6"/>
    <n v="1924"/>
    <n v="11544"/>
    <x v="1"/>
  </r>
  <r>
    <n v="1027"/>
    <x v="25"/>
    <n v="4"/>
    <x v="22"/>
    <x v="1"/>
    <n v="2"/>
    <x v="10"/>
    <x v="1"/>
    <n v="4"/>
    <n v="481"/>
    <n v="1924"/>
    <x v="0"/>
  </r>
  <r>
    <n v="1028"/>
    <x v="26"/>
    <n v="21"/>
    <x v="23"/>
    <x v="3"/>
    <n v="14"/>
    <x v="3"/>
    <x v="0"/>
    <n v="7"/>
    <n v="204"/>
    <n v="1428"/>
    <x v="3"/>
  </r>
  <r>
    <n v="1029"/>
    <x v="27"/>
    <n v="27"/>
    <x v="24"/>
    <x v="3"/>
    <n v="16"/>
    <x v="12"/>
    <x v="2"/>
    <n v="5"/>
    <n v="1948"/>
    <n v="9740"/>
    <x v="3"/>
  </r>
  <r>
    <n v="1030"/>
    <x v="28"/>
    <n v="36"/>
    <x v="25"/>
    <x v="2"/>
    <n v="19"/>
    <x v="1"/>
    <x v="1"/>
    <n v="4"/>
    <n v="1563"/>
    <n v="6252"/>
    <x v="1"/>
  </r>
  <r>
    <n v="1031"/>
    <x v="29"/>
    <n v="5"/>
    <x v="7"/>
    <x v="3"/>
    <n v="10"/>
    <x v="13"/>
    <x v="3"/>
    <n v="8"/>
    <n v="273"/>
    <n v="2184"/>
    <x v="1"/>
  </r>
  <r>
    <n v="1032"/>
    <x v="30"/>
    <n v="5"/>
    <x v="7"/>
    <x v="3"/>
    <n v="14"/>
    <x v="3"/>
    <x v="0"/>
    <n v="9"/>
    <n v="204"/>
    <n v="1836"/>
    <x v="1"/>
  </r>
  <r>
    <n v="1033"/>
    <x v="31"/>
    <n v="40"/>
    <x v="3"/>
    <x v="3"/>
    <n v="13"/>
    <x v="6"/>
    <x v="1"/>
    <n v="6"/>
    <n v="1267"/>
    <n v="7602"/>
    <x v="1"/>
  </r>
  <r>
    <n v="1034"/>
    <x v="32"/>
    <n v="16"/>
    <x v="12"/>
    <x v="1"/>
    <n v="14"/>
    <x v="3"/>
    <x v="0"/>
    <n v="2"/>
    <n v="204"/>
    <n v="408"/>
    <x v="0"/>
  </r>
  <r>
    <n v="1035"/>
    <x v="33"/>
    <n v="48"/>
    <x v="4"/>
    <x v="0"/>
    <n v="2"/>
    <x v="10"/>
    <x v="1"/>
    <n v="3"/>
    <n v="481"/>
    <n v="1443"/>
    <x v="3"/>
  </r>
  <r>
    <n v="1036"/>
    <x v="34"/>
    <n v="10"/>
    <x v="26"/>
    <x v="1"/>
    <n v="15"/>
    <x v="14"/>
    <x v="0"/>
    <n v="10"/>
    <n v="976"/>
    <n v="9760"/>
    <x v="1"/>
  </r>
  <r>
    <n v="1037"/>
    <x v="35"/>
    <n v="49"/>
    <x v="27"/>
    <x v="3"/>
    <n v="7"/>
    <x v="15"/>
    <x v="3"/>
    <n v="3"/>
    <n v="1625"/>
    <n v="4875"/>
    <x v="1"/>
  </r>
  <r>
    <n v="1038"/>
    <x v="36"/>
    <n v="23"/>
    <x v="28"/>
    <x v="3"/>
    <n v="8"/>
    <x v="9"/>
    <x v="1"/>
    <n v="4"/>
    <n v="1924"/>
    <n v="7696"/>
    <x v="3"/>
  </r>
  <r>
    <n v="1039"/>
    <x v="37"/>
    <n v="7"/>
    <x v="9"/>
    <x v="3"/>
    <n v="5"/>
    <x v="7"/>
    <x v="2"/>
    <n v="1"/>
    <n v="632"/>
    <n v="632"/>
    <x v="2"/>
  </r>
  <r>
    <n v="1040"/>
    <x v="22"/>
    <n v="22"/>
    <x v="29"/>
    <x v="2"/>
    <n v="17"/>
    <x v="4"/>
    <x v="2"/>
    <n v="2"/>
    <n v="1320"/>
    <n v="2640"/>
    <x v="1"/>
  </r>
  <r>
    <n v="1041"/>
    <x v="38"/>
    <n v="6"/>
    <x v="30"/>
    <x v="3"/>
    <n v="6"/>
    <x v="16"/>
    <x v="3"/>
    <n v="10"/>
    <n v="1421"/>
    <n v="14210"/>
    <x v="2"/>
  </r>
  <r>
    <n v="1042"/>
    <x v="39"/>
    <n v="15"/>
    <x v="31"/>
    <x v="3"/>
    <n v="8"/>
    <x v="9"/>
    <x v="1"/>
    <n v="4"/>
    <n v="1924"/>
    <n v="7696"/>
    <x v="3"/>
  </r>
  <r>
    <n v="1043"/>
    <x v="24"/>
    <n v="44"/>
    <x v="32"/>
    <x v="1"/>
    <n v="15"/>
    <x v="14"/>
    <x v="0"/>
    <n v="3"/>
    <n v="976"/>
    <n v="2928"/>
    <x v="2"/>
  </r>
  <r>
    <n v="1044"/>
    <x v="40"/>
    <n v="8"/>
    <x v="33"/>
    <x v="1"/>
    <n v="12"/>
    <x v="2"/>
    <x v="1"/>
    <n v="10"/>
    <n v="1539"/>
    <n v="15390"/>
    <x v="1"/>
  </r>
  <r>
    <n v="1045"/>
    <x v="41"/>
    <n v="46"/>
    <x v="20"/>
    <x v="2"/>
    <n v="19"/>
    <x v="1"/>
    <x v="1"/>
    <n v="2"/>
    <n v="1563"/>
    <n v="3126"/>
    <x v="2"/>
  </r>
  <r>
    <n v="1046"/>
    <x v="28"/>
    <n v="34"/>
    <x v="34"/>
    <x v="1"/>
    <n v="15"/>
    <x v="14"/>
    <x v="0"/>
    <n v="5"/>
    <n v="976"/>
    <n v="4880"/>
    <x v="3"/>
  </r>
  <r>
    <n v="1047"/>
    <x v="42"/>
    <n v="46"/>
    <x v="20"/>
    <x v="2"/>
    <n v="13"/>
    <x v="6"/>
    <x v="1"/>
    <n v="7"/>
    <n v="1267"/>
    <n v="8869"/>
    <x v="0"/>
  </r>
  <r>
    <n v="1048"/>
    <x v="20"/>
    <n v="43"/>
    <x v="35"/>
    <x v="2"/>
    <n v="9"/>
    <x v="0"/>
    <x v="0"/>
    <n v="2"/>
    <n v="1047"/>
    <n v="2094"/>
    <x v="2"/>
  </r>
  <r>
    <n v="1049"/>
    <x v="43"/>
    <n v="6"/>
    <x v="30"/>
    <x v="3"/>
    <n v="11"/>
    <x v="17"/>
    <x v="0"/>
    <n v="5"/>
    <n v="1093"/>
    <n v="5465"/>
    <x v="1"/>
  </r>
  <r>
    <n v="1050"/>
    <x v="44"/>
    <n v="36"/>
    <x v="25"/>
    <x v="2"/>
    <n v="4"/>
    <x v="11"/>
    <x v="0"/>
    <n v="4"/>
    <n v="1380"/>
    <n v="5520"/>
    <x v="3"/>
  </r>
  <r>
    <n v="1051"/>
    <x v="24"/>
    <n v="43"/>
    <x v="35"/>
    <x v="2"/>
    <n v="16"/>
    <x v="12"/>
    <x v="2"/>
    <n v="6"/>
    <n v="1948"/>
    <n v="11688"/>
    <x v="3"/>
  </r>
  <r>
    <n v="1052"/>
    <x v="45"/>
    <n v="38"/>
    <x v="17"/>
    <x v="1"/>
    <n v="11"/>
    <x v="17"/>
    <x v="0"/>
    <n v="4"/>
    <n v="1093"/>
    <n v="4372"/>
    <x v="3"/>
  </r>
  <r>
    <n v="1053"/>
    <x v="38"/>
    <n v="49"/>
    <x v="27"/>
    <x v="3"/>
    <n v="12"/>
    <x v="2"/>
    <x v="1"/>
    <n v="1"/>
    <n v="1539"/>
    <n v="1539"/>
    <x v="3"/>
  </r>
  <r>
    <n v="1054"/>
    <x v="46"/>
    <n v="45"/>
    <x v="11"/>
    <x v="0"/>
    <n v="2"/>
    <x v="10"/>
    <x v="1"/>
    <n v="8"/>
    <n v="481"/>
    <n v="3848"/>
    <x v="3"/>
  </r>
  <r>
    <n v="1055"/>
    <x v="47"/>
    <n v="8"/>
    <x v="33"/>
    <x v="1"/>
    <n v="5"/>
    <x v="7"/>
    <x v="2"/>
    <n v="2"/>
    <n v="632"/>
    <n v="1264"/>
    <x v="2"/>
  </r>
  <r>
    <n v="1056"/>
    <x v="48"/>
    <n v="22"/>
    <x v="29"/>
    <x v="2"/>
    <n v="1"/>
    <x v="8"/>
    <x v="0"/>
    <n v="5"/>
    <n v="574"/>
    <n v="2870"/>
    <x v="2"/>
  </r>
  <r>
    <n v="1057"/>
    <x v="49"/>
    <n v="35"/>
    <x v="19"/>
    <x v="0"/>
    <n v="16"/>
    <x v="12"/>
    <x v="2"/>
    <n v="1"/>
    <n v="1948"/>
    <n v="1948"/>
    <x v="1"/>
  </r>
  <r>
    <n v="1058"/>
    <x v="50"/>
    <n v="32"/>
    <x v="36"/>
    <x v="3"/>
    <n v="15"/>
    <x v="14"/>
    <x v="0"/>
    <n v="4"/>
    <n v="976"/>
    <n v="3904"/>
    <x v="1"/>
  </r>
  <r>
    <n v="1059"/>
    <x v="51"/>
    <n v="6"/>
    <x v="30"/>
    <x v="3"/>
    <n v="12"/>
    <x v="2"/>
    <x v="1"/>
    <n v="5"/>
    <n v="1539"/>
    <n v="7695"/>
    <x v="2"/>
  </r>
  <r>
    <n v="1060"/>
    <x v="52"/>
    <n v="26"/>
    <x v="14"/>
    <x v="0"/>
    <n v="16"/>
    <x v="12"/>
    <x v="2"/>
    <n v="6"/>
    <n v="1948"/>
    <n v="11688"/>
    <x v="1"/>
  </r>
  <r>
    <n v="1061"/>
    <x v="23"/>
    <n v="23"/>
    <x v="28"/>
    <x v="3"/>
    <n v="8"/>
    <x v="9"/>
    <x v="1"/>
    <n v="7"/>
    <n v="1924"/>
    <n v="13468"/>
    <x v="0"/>
  </r>
  <r>
    <n v="1062"/>
    <x v="53"/>
    <n v="33"/>
    <x v="37"/>
    <x v="1"/>
    <n v="5"/>
    <x v="7"/>
    <x v="2"/>
    <n v="10"/>
    <n v="632"/>
    <n v="6320"/>
    <x v="0"/>
  </r>
  <r>
    <n v="1063"/>
    <x v="54"/>
    <n v="44"/>
    <x v="32"/>
    <x v="1"/>
    <n v="20"/>
    <x v="18"/>
    <x v="2"/>
    <n v="5"/>
    <n v="1558"/>
    <n v="7790"/>
    <x v="2"/>
  </r>
  <r>
    <n v="1064"/>
    <x v="55"/>
    <n v="21"/>
    <x v="23"/>
    <x v="3"/>
    <n v="3"/>
    <x v="19"/>
    <x v="2"/>
    <n v="10"/>
    <n v="1214"/>
    <n v="12140"/>
    <x v="1"/>
  </r>
  <r>
    <n v="1065"/>
    <x v="56"/>
    <n v="16"/>
    <x v="12"/>
    <x v="1"/>
    <n v="10"/>
    <x v="13"/>
    <x v="3"/>
    <n v="3"/>
    <n v="273"/>
    <n v="819"/>
    <x v="3"/>
  </r>
  <r>
    <n v="1066"/>
    <x v="39"/>
    <n v="28"/>
    <x v="18"/>
    <x v="1"/>
    <n v="13"/>
    <x v="6"/>
    <x v="1"/>
    <n v="6"/>
    <n v="1267"/>
    <n v="7602"/>
    <x v="2"/>
  </r>
  <r>
    <n v="1067"/>
    <x v="57"/>
    <n v="38"/>
    <x v="17"/>
    <x v="1"/>
    <n v="8"/>
    <x v="9"/>
    <x v="1"/>
    <n v="6"/>
    <n v="1924"/>
    <n v="11544"/>
    <x v="1"/>
  </r>
  <r>
    <n v="1068"/>
    <x v="58"/>
    <n v="38"/>
    <x v="17"/>
    <x v="1"/>
    <n v="18"/>
    <x v="5"/>
    <x v="1"/>
    <n v="3"/>
    <n v="1099"/>
    <n v="3297"/>
    <x v="1"/>
  </r>
  <r>
    <n v="1069"/>
    <x v="59"/>
    <n v="39"/>
    <x v="8"/>
    <x v="0"/>
    <n v="15"/>
    <x v="14"/>
    <x v="0"/>
    <n v="5"/>
    <n v="976"/>
    <n v="4880"/>
    <x v="1"/>
  </r>
  <r>
    <n v="1070"/>
    <x v="19"/>
    <n v="24"/>
    <x v="38"/>
    <x v="3"/>
    <n v="12"/>
    <x v="2"/>
    <x v="1"/>
    <n v="6"/>
    <n v="1539"/>
    <n v="9234"/>
    <x v="3"/>
  </r>
  <r>
    <n v="1071"/>
    <x v="27"/>
    <n v="8"/>
    <x v="33"/>
    <x v="1"/>
    <n v="13"/>
    <x v="6"/>
    <x v="1"/>
    <n v="10"/>
    <n v="1267"/>
    <n v="12670"/>
    <x v="3"/>
  </r>
  <r>
    <n v="1072"/>
    <x v="60"/>
    <n v="19"/>
    <x v="39"/>
    <x v="2"/>
    <n v="2"/>
    <x v="10"/>
    <x v="1"/>
    <n v="1"/>
    <n v="481"/>
    <n v="481"/>
    <x v="3"/>
  </r>
  <r>
    <n v="1073"/>
    <x v="61"/>
    <n v="47"/>
    <x v="40"/>
    <x v="3"/>
    <n v="3"/>
    <x v="19"/>
    <x v="2"/>
    <n v="5"/>
    <n v="1214"/>
    <n v="6070"/>
    <x v="2"/>
  </r>
  <r>
    <n v="1074"/>
    <x v="62"/>
    <n v="26"/>
    <x v="14"/>
    <x v="0"/>
    <n v="7"/>
    <x v="15"/>
    <x v="3"/>
    <n v="6"/>
    <n v="1625"/>
    <n v="9750"/>
    <x v="3"/>
  </r>
  <r>
    <n v="1075"/>
    <x v="63"/>
    <n v="23"/>
    <x v="28"/>
    <x v="3"/>
    <n v="18"/>
    <x v="5"/>
    <x v="1"/>
    <n v="8"/>
    <n v="1099"/>
    <n v="8792"/>
    <x v="2"/>
  </r>
  <r>
    <n v="1076"/>
    <x v="64"/>
    <n v="49"/>
    <x v="27"/>
    <x v="3"/>
    <n v="3"/>
    <x v="19"/>
    <x v="2"/>
    <n v="8"/>
    <n v="1214"/>
    <n v="9712"/>
    <x v="3"/>
  </r>
  <r>
    <n v="1077"/>
    <x v="65"/>
    <n v="40"/>
    <x v="3"/>
    <x v="3"/>
    <n v="12"/>
    <x v="2"/>
    <x v="1"/>
    <n v="6"/>
    <n v="1539"/>
    <n v="9234"/>
    <x v="0"/>
  </r>
  <r>
    <n v="1078"/>
    <x v="66"/>
    <n v="8"/>
    <x v="33"/>
    <x v="1"/>
    <n v="20"/>
    <x v="18"/>
    <x v="2"/>
    <n v="8"/>
    <n v="1558"/>
    <n v="12464"/>
    <x v="0"/>
  </r>
  <r>
    <n v="1079"/>
    <x v="67"/>
    <n v="19"/>
    <x v="39"/>
    <x v="2"/>
    <n v="16"/>
    <x v="12"/>
    <x v="2"/>
    <n v="2"/>
    <n v="1948"/>
    <n v="3896"/>
    <x v="3"/>
  </r>
  <r>
    <n v="1080"/>
    <x v="14"/>
    <n v="15"/>
    <x v="31"/>
    <x v="3"/>
    <n v="1"/>
    <x v="8"/>
    <x v="0"/>
    <n v="5"/>
    <n v="574"/>
    <n v="2870"/>
    <x v="3"/>
  </r>
  <r>
    <n v="1081"/>
    <x v="68"/>
    <n v="12"/>
    <x v="21"/>
    <x v="2"/>
    <n v="12"/>
    <x v="2"/>
    <x v="1"/>
    <n v="1"/>
    <n v="1539"/>
    <n v="1539"/>
    <x v="3"/>
  </r>
  <r>
    <n v="1082"/>
    <x v="69"/>
    <n v="5"/>
    <x v="7"/>
    <x v="3"/>
    <n v="2"/>
    <x v="10"/>
    <x v="1"/>
    <n v="1"/>
    <n v="481"/>
    <n v="481"/>
    <x v="0"/>
  </r>
  <r>
    <n v="1083"/>
    <x v="64"/>
    <n v="1"/>
    <x v="15"/>
    <x v="2"/>
    <n v="5"/>
    <x v="7"/>
    <x v="2"/>
    <n v="10"/>
    <n v="632"/>
    <n v="6320"/>
    <x v="1"/>
  </r>
  <r>
    <n v="1084"/>
    <x v="70"/>
    <n v="36"/>
    <x v="25"/>
    <x v="2"/>
    <n v="4"/>
    <x v="11"/>
    <x v="0"/>
    <n v="5"/>
    <n v="1380"/>
    <n v="6900"/>
    <x v="3"/>
  </r>
  <r>
    <n v="1085"/>
    <x v="71"/>
    <n v="50"/>
    <x v="41"/>
    <x v="2"/>
    <n v="3"/>
    <x v="19"/>
    <x v="2"/>
    <n v="6"/>
    <n v="1214"/>
    <n v="7284"/>
    <x v="3"/>
  </r>
  <r>
    <n v="1086"/>
    <x v="72"/>
    <n v="47"/>
    <x v="40"/>
    <x v="3"/>
    <n v="16"/>
    <x v="12"/>
    <x v="2"/>
    <n v="5"/>
    <n v="1948"/>
    <n v="9740"/>
    <x v="3"/>
  </r>
  <r>
    <n v="1087"/>
    <x v="26"/>
    <n v="26"/>
    <x v="14"/>
    <x v="0"/>
    <n v="2"/>
    <x v="10"/>
    <x v="1"/>
    <n v="2"/>
    <n v="481"/>
    <n v="962"/>
    <x v="2"/>
  </r>
  <r>
    <n v="1088"/>
    <x v="73"/>
    <n v="2"/>
    <x v="0"/>
    <x v="0"/>
    <n v="1"/>
    <x v="8"/>
    <x v="0"/>
    <n v="10"/>
    <n v="574"/>
    <n v="5740"/>
    <x v="2"/>
  </r>
  <r>
    <n v="1089"/>
    <x v="74"/>
    <n v="43"/>
    <x v="35"/>
    <x v="2"/>
    <n v="13"/>
    <x v="6"/>
    <x v="1"/>
    <n v="10"/>
    <n v="1267"/>
    <n v="12670"/>
    <x v="1"/>
  </r>
  <r>
    <n v="1090"/>
    <x v="75"/>
    <n v="48"/>
    <x v="4"/>
    <x v="0"/>
    <n v="10"/>
    <x v="13"/>
    <x v="3"/>
    <n v="4"/>
    <n v="273"/>
    <n v="1092"/>
    <x v="3"/>
  </r>
  <r>
    <n v="1091"/>
    <x v="76"/>
    <n v="47"/>
    <x v="40"/>
    <x v="3"/>
    <n v="9"/>
    <x v="0"/>
    <x v="0"/>
    <n v="4"/>
    <n v="1047"/>
    <n v="4188"/>
    <x v="2"/>
  </r>
  <r>
    <n v="1092"/>
    <x v="77"/>
    <n v="48"/>
    <x v="4"/>
    <x v="0"/>
    <n v="6"/>
    <x v="16"/>
    <x v="3"/>
    <n v="7"/>
    <n v="1421"/>
    <n v="9947"/>
    <x v="0"/>
  </r>
  <r>
    <n v="1093"/>
    <x v="78"/>
    <n v="19"/>
    <x v="39"/>
    <x v="2"/>
    <n v="17"/>
    <x v="4"/>
    <x v="2"/>
    <n v="4"/>
    <n v="1320"/>
    <n v="5280"/>
    <x v="3"/>
  </r>
  <r>
    <n v="1094"/>
    <x v="79"/>
    <n v="46"/>
    <x v="20"/>
    <x v="2"/>
    <n v="19"/>
    <x v="1"/>
    <x v="1"/>
    <n v="10"/>
    <n v="1563"/>
    <n v="15630"/>
    <x v="3"/>
  </r>
  <r>
    <n v="1095"/>
    <x v="80"/>
    <n v="39"/>
    <x v="8"/>
    <x v="0"/>
    <n v="1"/>
    <x v="8"/>
    <x v="0"/>
    <n v="9"/>
    <n v="574"/>
    <n v="5166"/>
    <x v="1"/>
  </r>
  <r>
    <n v="1096"/>
    <x v="46"/>
    <n v="19"/>
    <x v="39"/>
    <x v="2"/>
    <n v="14"/>
    <x v="3"/>
    <x v="0"/>
    <n v="9"/>
    <n v="204"/>
    <n v="1836"/>
    <x v="1"/>
  </r>
  <r>
    <n v="1097"/>
    <x v="55"/>
    <n v="15"/>
    <x v="31"/>
    <x v="3"/>
    <n v="4"/>
    <x v="11"/>
    <x v="0"/>
    <n v="2"/>
    <n v="1380"/>
    <n v="2760"/>
    <x v="2"/>
  </r>
  <r>
    <n v="1098"/>
    <x v="80"/>
    <n v="13"/>
    <x v="42"/>
    <x v="0"/>
    <n v="14"/>
    <x v="3"/>
    <x v="0"/>
    <n v="2"/>
    <n v="204"/>
    <n v="408"/>
    <x v="1"/>
  </r>
  <r>
    <n v="1099"/>
    <x v="52"/>
    <n v="44"/>
    <x v="32"/>
    <x v="1"/>
    <n v="2"/>
    <x v="10"/>
    <x v="1"/>
    <n v="9"/>
    <n v="481"/>
    <n v="4329"/>
    <x v="0"/>
  </r>
  <r>
    <n v="1100"/>
    <x v="81"/>
    <n v="3"/>
    <x v="43"/>
    <x v="1"/>
    <n v="14"/>
    <x v="3"/>
    <x v="0"/>
    <n v="4"/>
    <n v="204"/>
    <n v="816"/>
    <x v="0"/>
  </r>
  <r>
    <n v="1101"/>
    <x v="82"/>
    <n v="39"/>
    <x v="8"/>
    <x v="0"/>
    <n v="8"/>
    <x v="9"/>
    <x v="1"/>
    <n v="2"/>
    <n v="1924"/>
    <n v="3848"/>
    <x v="2"/>
  </r>
  <r>
    <n v="1102"/>
    <x v="83"/>
    <n v="23"/>
    <x v="28"/>
    <x v="3"/>
    <n v="8"/>
    <x v="9"/>
    <x v="1"/>
    <n v="8"/>
    <n v="1924"/>
    <n v="15392"/>
    <x v="0"/>
  </r>
  <r>
    <n v="1103"/>
    <x v="74"/>
    <n v="26"/>
    <x v="14"/>
    <x v="0"/>
    <n v="17"/>
    <x v="4"/>
    <x v="2"/>
    <n v="7"/>
    <n v="1320"/>
    <n v="9240"/>
    <x v="2"/>
  </r>
  <r>
    <n v="1104"/>
    <x v="84"/>
    <n v="17"/>
    <x v="13"/>
    <x v="3"/>
    <n v="19"/>
    <x v="1"/>
    <x v="1"/>
    <n v="5"/>
    <n v="1563"/>
    <n v="7815"/>
    <x v="3"/>
  </r>
  <r>
    <n v="1105"/>
    <x v="48"/>
    <n v="44"/>
    <x v="32"/>
    <x v="1"/>
    <n v="2"/>
    <x v="10"/>
    <x v="1"/>
    <n v="9"/>
    <n v="481"/>
    <n v="4329"/>
    <x v="1"/>
  </r>
  <r>
    <n v="1106"/>
    <x v="85"/>
    <n v="5"/>
    <x v="7"/>
    <x v="3"/>
    <n v="4"/>
    <x v="11"/>
    <x v="0"/>
    <n v="1"/>
    <n v="1380"/>
    <n v="1380"/>
    <x v="2"/>
  </r>
  <r>
    <n v="1107"/>
    <x v="61"/>
    <n v="25"/>
    <x v="5"/>
    <x v="0"/>
    <n v="19"/>
    <x v="1"/>
    <x v="1"/>
    <n v="7"/>
    <n v="1563"/>
    <n v="10941"/>
    <x v="2"/>
  </r>
  <r>
    <n v="1108"/>
    <x v="86"/>
    <n v="43"/>
    <x v="35"/>
    <x v="2"/>
    <n v="1"/>
    <x v="8"/>
    <x v="0"/>
    <n v="5"/>
    <n v="574"/>
    <n v="2870"/>
    <x v="1"/>
  </r>
  <r>
    <n v="1109"/>
    <x v="87"/>
    <n v="50"/>
    <x v="41"/>
    <x v="2"/>
    <n v="16"/>
    <x v="12"/>
    <x v="2"/>
    <n v="1"/>
    <n v="1948"/>
    <n v="1948"/>
    <x v="2"/>
  </r>
  <r>
    <n v="1110"/>
    <x v="88"/>
    <n v="27"/>
    <x v="24"/>
    <x v="3"/>
    <n v="10"/>
    <x v="13"/>
    <x v="3"/>
    <n v="8"/>
    <n v="273"/>
    <n v="2184"/>
    <x v="1"/>
  </r>
  <r>
    <n v="1111"/>
    <x v="64"/>
    <n v="19"/>
    <x v="39"/>
    <x v="2"/>
    <n v="13"/>
    <x v="6"/>
    <x v="1"/>
    <n v="10"/>
    <n v="1267"/>
    <n v="12670"/>
    <x v="0"/>
  </r>
  <r>
    <n v="1112"/>
    <x v="89"/>
    <n v="10"/>
    <x v="26"/>
    <x v="1"/>
    <n v="14"/>
    <x v="3"/>
    <x v="0"/>
    <n v="9"/>
    <n v="204"/>
    <n v="1836"/>
    <x v="0"/>
  </r>
  <r>
    <n v="1113"/>
    <x v="2"/>
    <n v="44"/>
    <x v="32"/>
    <x v="1"/>
    <n v="8"/>
    <x v="9"/>
    <x v="1"/>
    <n v="8"/>
    <n v="1924"/>
    <n v="15392"/>
    <x v="3"/>
  </r>
  <r>
    <n v="1114"/>
    <x v="90"/>
    <n v="21"/>
    <x v="23"/>
    <x v="3"/>
    <n v="3"/>
    <x v="19"/>
    <x v="2"/>
    <n v="2"/>
    <n v="1214"/>
    <n v="2428"/>
    <x v="1"/>
  </r>
  <r>
    <n v="1115"/>
    <x v="73"/>
    <n v="33"/>
    <x v="37"/>
    <x v="1"/>
    <n v="12"/>
    <x v="2"/>
    <x v="1"/>
    <n v="7"/>
    <n v="1539"/>
    <n v="10773"/>
    <x v="1"/>
  </r>
  <r>
    <n v="1116"/>
    <x v="27"/>
    <n v="1"/>
    <x v="15"/>
    <x v="2"/>
    <n v="9"/>
    <x v="0"/>
    <x v="0"/>
    <n v="9"/>
    <n v="1047"/>
    <n v="9423"/>
    <x v="2"/>
  </r>
  <r>
    <n v="1117"/>
    <x v="91"/>
    <n v="24"/>
    <x v="38"/>
    <x v="3"/>
    <n v="7"/>
    <x v="15"/>
    <x v="3"/>
    <n v="3"/>
    <n v="1625"/>
    <n v="4875"/>
    <x v="0"/>
  </r>
  <r>
    <n v="1118"/>
    <x v="33"/>
    <n v="38"/>
    <x v="17"/>
    <x v="1"/>
    <n v="1"/>
    <x v="8"/>
    <x v="0"/>
    <n v="3"/>
    <n v="574"/>
    <n v="1722"/>
    <x v="2"/>
  </r>
  <r>
    <n v="1119"/>
    <x v="52"/>
    <n v="23"/>
    <x v="28"/>
    <x v="3"/>
    <n v="8"/>
    <x v="9"/>
    <x v="1"/>
    <n v="2"/>
    <n v="1924"/>
    <n v="3848"/>
    <x v="3"/>
  </r>
  <r>
    <n v="1120"/>
    <x v="83"/>
    <n v="29"/>
    <x v="10"/>
    <x v="3"/>
    <n v="10"/>
    <x v="13"/>
    <x v="3"/>
    <n v="10"/>
    <n v="273"/>
    <n v="2730"/>
    <x v="0"/>
  </r>
  <r>
    <n v="1121"/>
    <x v="92"/>
    <n v="45"/>
    <x v="11"/>
    <x v="0"/>
    <n v="17"/>
    <x v="4"/>
    <x v="2"/>
    <n v="10"/>
    <n v="1320"/>
    <n v="13200"/>
    <x v="0"/>
  </r>
  <r>
    <n v="1122"/>
    <x v="93"/>
    <n v="43"/>
    <x v="35"/>
    <x v="2"/>
    <n v="16"/>
    <x v="12"/>
    <x v="2"/>
    <n v="3"/>
    <n v="1948"/>
    <n v="5844"/>
    <x v="3"/>
  </r>
  <r>
    <n v="1123"/>
    <x v="94"/>
    <n v="50"/>
    <x v="41"/>
    <x v="2"/>
    <n v="15"/>
    <x v="14"/>
    <x v="0"/>
    <n v="10"/>
    <n v="976"/>
    <n v="9760"/>
    <x v="0"/>
  </r>
  <r>
    <n v="1124"/>
    <x v="95"/>
    <n v="47"/>
    <x v="40"/>
    <x v="3"/>
    <n v="4"/>
    <x v="11"/>
    <x v="0"/>
    <n v="1"/>
    <n v="1380"/>
    <n v="1380"/>
    <x v="1"/>
  </r>
  <r>
    <n v="1125"/>
    <x v="64"/>
    <n v="39"/>
    <x v="8"/>
    <x v="0"/>
    <n v="16"/>
    <x v="12"/>
    <x v="2"/>
    <n v="5"/>
    <n v="1948"/>
    <n v="9740"/>
    <x v="1"/>
  </r>
  <r>
    <n v="1126"/>
    <x v="96"/>
    <n v="3"/>
    <x v="43"/>
    <x v="1"/>
    <n v="17"/>
    <x v="4"/>
    <x v="2"/>
    <n v="8"/>
    <n v="1320"/>
    <n v="10560"/>
    <x v="0"/>
  </r>
  <r>
    <n v="1127"/>
    <x v="97"/>
    <n v="46"/>
    <x v="20"/>
    <x v="2"/>
    <n v="5"/>
    <x v="7"/>
    <x v="2"/>
    <n v="5"/>
    <n v="632"/>
    <n v="3160"/>
    <x v="0"/>
  </r>
  <r>
    <n v="1128"/>
    <x v="98"/>
    <n v="29"/>
    <x v="10"/>
    <x v="3"/>
    <n v="9"/>
    <x v="0"/>
    <x v="0"/>
    <n v="7"/>
    <n v="1047"/>
    <n v="7329"/>
    <x v="2"/>
  </r>
  <r>
    <n v="1129"/>
    <x v="47"/>
    <n v="16"/>
    <x v="12"/>
    <x v="1"/>
    <n v="14"/>
    <x v="3"/>
    <x v="0"/>
    <n v="7"/>
    <n v="204"/>
    <n v="1428"/>
    <x v="3"/>
  </r>
  <r>
    <n v="1130"/>
    <x v="59"/>
    <n v="14"/>
    <x v="44"/>
    <x v="2"/>
    <n v="15"/>
    <x v="14"/>
    <x v="0"/>
    <n v="5"/>
    <n v="976"/>
    <n v="4880"/>
    <x v="2"/>
  </r>
  <r>
    <n v="1131"/>
    <x v="12"/>
    <n v="11"/>
    <x v="45"/>
    <x v="3"/>
    <n v="1"/>
    <x v="8"/>
    <x v="0"/>
    <n v="9"/>
    <n v="574"/>
    <n v="5166"/>
    <x v="3"/>
  </r>
  <r>
    <n v="1132"/>
    <x v="68"/>
    <n v="48"/>
    <x v="4"/>
    <x v="0"/>
    <n v="8"/>
    <x v="9"/>
    <x v="1"/>
    <n v="6"/>
    <n v="1924"/>
    <n v="11544"/>
    <x v="3"/>
  </r>
  <r>
    <n v="1133"/>
    <x v="57"/>
    <n v="32"/>
    <x v="36"/>
    <x v="3"/>
    <n v="15"/>
    <x v="14"/>
    <x v="0"/>
    <n v="1"/>
    <n v="976"/>
    <n v="976"/>
    <x v="0"/>
  </r>
  <r>
    <n v="1134"/>
    <x v="99"/>
    <n v="30"/>
    <x v="6"/>
    <x v="3"/>
    <n v="5"/>
    <x v="7"/>
    <x v="2"/>
    <n v="4"/>
    <n v="632"/>
    <n v="2528"/>
    <x v="3"/>
  </r>
  <r>
    <n v="1135"/>
    <x v="100"/>
    <n v="40"/>
    <x v="3"/>
    <x v="3"/>
    <n v="2"/>
    <x v="10"/>
    <x v="1"/>
    <n v="4"/>
    <n v="481"/>
    <n v="1924"/>
    <x v="3"/>
  </r>
  <r>
    <n v="1136"/>
    <x v="101"/>
    <n v="24"/>
    <x v="38"/>
    <x v="3"/>
    <n v="12"/>
    <x v="2"/>
    <x v="1"/>
    <n v="7"/>
    <n v="1539"/>
    <n v="10773"/>
    <x v="3"/>
  </r>
  <r>
    <n v="1137"/>
    <x v="15"/>
    <n v="32"/>
    <x v="36"/>
    <x v="3"/>
    <n v="16"/>
    <x v="12"/>
    <x v="2"/>
    <n v="10"/>
    <n v="1948"/>
    <n v="19480"/>
    <x v="2"/>
  </r>
  <r>
    <n v="1138"/>
    <x v="102"/>
    <n v="38"/>
    <x v="17"/>
    <x v="1"/>
    <n v="2"/>
    <x v="10"/>
    <x v="1"/>
    <n v="2"/>
    <n v="481"/>
    <n v="962"/>
    <x v="2"/>
  </r>
  <r>
    <n v="1139"/>
    <x v="103"/>
    <n v="1"/>
    <x v="15"/>
    <x v="2"/>
    <n v="7"/>
    <x v="15"/>
    <x v="3"/>
    <n v="6"/>
    <n v="1625"/>
    <n v="9750"/>
    <x v="1"/>
  </r>
  <r>
    <n v="1140"/>
    <x v="46"/>
    <n v="43"/>
    <x v="35"/>
    <x v="2"/>
    <n v="17"/>
    <x v="4"/>
    <x v="2"/>
    <n v="4"/>
    <n v="1320"/>
    <n v="5280"/>
    <x v="3"/>
  </r>
  <r>
    <n v="1141"/>
    <x v="31"/>
    <n v="15"/>
    <x v="31"/>
    <x v="3"/>
    <n v="3"/>
    <x v="19"/>
    <x v="2"/>
    <n v="4"/>
    <n v="1214"/>
    <n v="4856"/>
    <x v="2"/>
  </r>
  <r>
    <n v="1142"/>
    <x v="104"/>
    <n v="50"/>
    <x v="41"/>
    <x v="2"/>
    <n v="1"/>
    <x v="8"/>
    <x v="0"/>
    <n v="1"/>
    <n v="574"/>
    <n v="574"/>
    <x v="3"/>
  </r>
  <r>
    <n v="1143"/>
    <x v="53"/>
    <n v="14"/>
    <x v="44"/>
    <x v="2"/>
    <n v="6"/>
    <x v="16"/>
    <x v="3"/>
    <n v="1"/>
    <n v="1421"/>
    <n v="1421"/>
    <x v="0"/>
  </r>
  <r>
    <n v="1144"/>
    <x v="37"/>
    <n v="21"/>
    <x v="23"/>
    <x v="3"/>
    <n v="20"/>
    <x v="18"/>
    <x v="2"/>
    <n v="9"/>
    <n v="1558"/>
    <n v="14022"/>
    <x v="1"/>
  </r>
  <r>
    <n v="1145"/>
    <x v="81"/>
    <n v="8"/>
    <x v="33"/>
    <x v="1"/>
    <n v="18"/>
    <x v="5"/>
    <x v="1"/>
    <n v="7"/>
    <n v="1099"/>
    <n v="7693"/>
    <x v="2"/>
  </r>
  <r>
    <n v="1146"/>
    <x v="16"/>
    <n v="46"/>
    <x v="20"/>
    <x v="2"/>
    <n v="19"/>
    <x v="1"/>
    <x v="1"/>
    <n v="9"/>
    <n v="1563"/>
    <n v="14067"/>
    <x v="1"/>
  </r>
  <r>
    <n v="1147"/>
    <x v="71"/>
    <n v="5"/>
    <x v="7"/>
    <x v="3"/>
    <n v="3"/>
    <x v="19"/>
    <x v="2"/>
    <n v="6"/>
    <n v="1214"/>
    <n v="7284"/>
    <x v="2"/>
  </r>
  <r>
    <n v="1148"/>
    <x v="15"/>
    <n v="6"/>
    <x v="30"/>
    <x v="3"/>
    <n v="17"/>
    <x v="4"/>
    <x v="2"/>
    <n v="9"/>
    <n v="1320"/>
    <n v="11880"/>
    <x v="2"/>
  </r>
  <r>
    <n v="1149"/>
    <x v="105"/>
    <n v="34"/>
    <x v="34"/>
    <x v="1"/>
    <n v="14"/>
    <x v="3"/>
    <x v="0"/>
    <n v="9"/>
    <n v="204"/>
    <n v="1836"/>
    <x v="2"/>
  </r>
  <r>
    <n v="1150"/>
    <x v="78"/>
    <n v="50"/>
    <x v="41"/>
    <x v="2"/>
    <n v="8"/>
    <x v="9"/>
    <x v="1"/>
    <n v="3"/>
    <n v="1924"/>
    <n v="5772"/>
    <x v="0"/>
  </r>
  <r>
    <n v="1151"/>
    <x v="106"/>
    <n v="40"/>
    <x v="3"/>
    <x v="3"/>
    <n v="4"/>
    <x v="11"/>
    <x v="0"/>
    <n v="7"/>
    <n v="1380"/>
    <n v="9660"/>
    <x v="0"/>
  </r>
  <r>
    <n v="1152"/>
    <x v="80"/>
    <n v="46"/>
    <x v="20"/>
    <x v="2"/>
    <n v="5"/>
    <x v="7"/>
    <x v="2"/>
    <n v="10"/>
    <n v="632"/>
    <n v="6320"/>
    <x v="1"/>
  </r>
  <r>
    <n v="1153"/>
    <x v="107"/>
    <n v="19"/>
    <x v="39"/>
    <x v="2"/>
    <n v="7"/>
    <x v="15"/>
    <x v="3"/>
    <n v="9"/>
    <n v="1625"/>
    <n v="14625"/>
    <x v="0"/>
  </r>
  <r>
    <n v="1154"/>
    <x v="108"/>
    <n v="25"/>
    <x v="5"/>
    <x v="0"/>
    <n v="17"/>
    <x v="4"/>
    <x v="2"/>
    <n v="2"/>
    <n v="1320"/>
    <n v="2640"/>
    <x v="3"/>
  </r>
  <r>
    <n v="1155"/>
    <x v="109"/>
    <n v="31"/>
    <x v="16"/>
    <x v="2"/>
    <n v="13"/>
    <x v="6"/>
    <x v="1"/>
    <n v="4"/>
    <n v="1267"/>
    <n v="5068"/>
    <x v="0"/>
  </r>
  <r>
    <n v="1156"/>
    <x v="79"/>
    <n v="42"/>
    <x v="46"/>
    <x v="0"/>
    <n v="18"/>
    <x v="5"/>
    <x v="1"/>
    <n v="5"/>
    <n v="1099"/>
    <n v="5495"/>
    <x v="3"/>
  </r>
  <r>
    <n v="1157"/>
    <x v="66"/>
    <n v="37"/>
    <x v="1"/>
    <x v="1"/>
    <n v="8"/>
    <x v="9"/>
    <x v="1"/>
    <n v="4"/>
    <n v="1924"/>
    <n v="7696"/>
    <x v="0"/>
  </r>
  <r>
    <n v="1158"/>
    <x v="56"/>
    <n v="8"/>
    <x v="33"/>
    <x v="1"/>
    <n v="16"/>
    <x v="12"/>
    <x v="2"/>
    <n v="5"/>
    <n v="1948"/>
    <n v="9740"/>
    <x v="2"/>
  </r>
  <r>
    <n v="1159"/>
    <x v="74"/>
    <n v="34"/>
    <x v="34"/>
    <x v="1"/>
    <n v="7"/>
    <x v="15"/>
    <x v="3"/>
    <n v="4"/>
    <n v="1625"/>
    <n v="6500"/>
    <x v="3"/>
  </r>
  <r>
    <n v="1160"/>
    <x v="68"/>
    <n v="23"/>
    <x v="28"/>
    <x v="3"/>
    <n v="14"/>
    <x v="3"/>
    <x v="0"/>
    <n v="8"/>
    <n v="204"/>
    <n v="1632"/>
    <x v="1"/>
  </r>
  <r>
    <n v="1161"/>
    <x v="9"/>
    <n v="45"/>
    <x v="11"/>
    <x v="0"/>
    <n v="15"/>
    <x v="14"/>
    <x v="0"/>
    <n v="5"/>
    <n v="976"/>
    <n v="4880"/>
    <x v="2"/>
  </r>
  <r>
    <n v="1162"/>
    <x v="20"/>
    <n v="45"/>
    <x v="11"/>
    <x v="0"/>
    <n v="20"/>
    <x v="18"/>
    <x v="2"/>
    <n v="6"/>
    <n v="1558"/>
    <n v="9348"/>
    <x v="3"/>
  </r>
  <r>
    <n v="1163"/>
    <x v="110"/>
    <n v="3"/>
    <x v="43"/>
    <x v="1"/>
    <n v="20"/>
    <x v="18"/>
    <x v="2"/>
    <n v="1"/>
    <n v="1558"/>
    <n v="1558"/>
    <x v="0"/>
  </r>
  <r>
    <n v="1164"/>
    <x v="111"/>
    <n v="14"/>
    <x v="44"/>
    <x v="2"/>
    <n v="8"/>
    <x v="9"/>
    <x v="1"/>
    <n v="1"/>
    <n v="1924"/>
    <n v="1924"/>
    <x v="2"/>
  </r>
  <r>
    <n v="1165"/>
    <x v="41"/>
    <n v="14"/>
    <x v="44"/>
    <x v="2"/>
    <n v="2"/>
    <x v="10"/>
    <x v="1"/>
    <n v="3"/>
    <n v="481"/>
    <n v="1443"/>
    <x v="1"/>
  </r>
  <r>
    <n v="1166"/>
    <x v="112"/>
    <n v="29"/>
    <x v="10"/>
    <x v="3"/>
    <n v="13"/>
    <x v="6"/>
    <x v="1"/>
    <n v="6"/>
    <n v="1267"/>
    <n v="7602"/>
    <x v="0"/>
  </r>
  <r>
    <n v="1167"/>
    <x v="32"/>
    <n v="41"/>
    <x v="47"/>
    <x v="3"/>
    <n v="10"/>
    <x v="13"/>
    <x v="3"/>
    <n v="7"/>
    <n v="273"/>
    <n v="1911"/>
    <x v="0"/>
  </r>
  <r>
    <n v="1168"/>
    <x v="53"/>
    <n v="7"/>
    <x v="9"/>
    <x v="3"/>
    <n v="5"/>
    <x v="7"/>
    <x v="2"/>
    <n v="9"/>
    <n v="632"/>
    <n v="5688"/>
    <x v="3"/>
  </r>
  <r>
    <n v="1169"/>
    <x v="54"/>
    <n v="14"/>
    <x v="44"/>
    <x v="2"/>
    <n v="18"/>
    <x v="5"/>
    <x v="1"/>
    <n v="3"/>
    <n v="1099"/>
    <n v="3297"/>
    <x v="0"/>
  </r>
  <r>
    <n v="1170"/>
    <x v="80"/>
    <n v="14"/>
    <x v="44"/>
    <x v="2"/>
    <n v="3"/>
    <x v="19"/>
    <x v="2"/>
    <n v="4"/>
    <n v="1214"/>
    <n v="4856"/>
    <x v="1"/>
  </r>
  <r>
    <n v="1171"/>
    <x v="113"/>
    <n v="28"/>
    <x v="18"/>
    <x v="1"/>
    <n v="20"/>
    <x v="18"/>
    <x v="2"/>
    <n v="1"/>
    <n v="1558"/>
    <n v="1558"/>
    <x v="2"/>
  </r>
  <r>
    <n v="1172"/>
    <x v="111"/>
    <n v="17"/>
    <x v="13"/>
    <x v="3"/>
    <n v="20"/>
    <x v="18"/>
    <x v="2"/>
    <n v="4"/>
    <n v="1558"/>
    <n v="6232"/>
    <x v="2"/>
  </r>
  <r>
    <n v="1173"/>
    <x v="107"/>
    <n v="23"/>
    <x v="28"/>
    <x v="3"/>
    <n v="10"/>
    <x v="13"/>
    <x v="3"/>
    <n v="7"/>
    <n v="273"/>
    <n v="1911"/>
    <x v="2"/>
  </r>
  <r>
    <n v="1174"/>
    <x v="98"/>
    <n v="11"/>
    <x v="45"/>
    <x v="3"/>
    <n v="8"/>
    <x v="9"/>
    <x v="1"/>
    <n v="6"/>
    <n v="1924"/>
    <n v="11544"/>
    <x v="0"/>
  </r>
  <r>
    <n v="1175"/>
    <x v="114"/>
    <n v="5"/>
    <x v="7"/>
    <x v="3"/>
    <n v="10"/>
    <x v="13"/>
    <x v="3"/>
    <n v="1"/>
    <n v="273"/>
    <n v="273"/>
    <x v="0"/>
  </r>
  <r>
    <n v="1176"/>
    <x v="58"/>
    <n v="10"/>
    <x v="26"/>
    <x v="1"/>
    <n v="14"/>
    <x v="3"/>
    <x v="0"/>
    <n v="8"/>
    <n v="204"/>
    <n v="1632"/>
    <x v="1"/>
  </r>
  <r>
    <n v="1177"/>
    <x v="115"/>
    <n v="7"/>
    <x v="9"/>
    <x v="3"/>
    <n v="10"/>
    <x v="13"/>
    <x v="3"/>
    <n v="7"/>
    <n v="273"/>
    <n v="1911"/>
    <x v="3"/>
  </r>
  <r>
    <n v="1178"/>
    <x v="116"/>
    <n v="31"/>
    <x v="16"/>
    <x v="2"/>
    <n v="12"/>
    <x v="2"/>
    <x v="1"/>
    <n v="7"/>
    <n v="1539"/>
    <n v="10773"/>
    <x v="0"/>
  </r>
  <r>
    <n v="1179"/>
    <x v="20"/>
    <n v="5"/>
    <x v="7"/>
    <x v="3"/>
    <n v="14"/>
    <x v="3"/>
    <x v="0"/>
    <n v="9"/>
    <n v="204"/>
    <n v="1836"/>
    <x v="2"/>
  </r>
  <r>
    <n v="1180"/>
    <x v="94"/>
    <n v="28"/>
    <x v="18"/>
    <x v="1"/>
    <n v="13"/>
    <x v="6"/>
    <x v="1"/>
    <n v="6"/>
    <n v="1267"/>
    <n v="7602"/>
    <x v="3"/>
  </r>
  <r>
    <n v="1181"/>
    <x v="117"/>
    <n v="16"/>
    <x v="12"/>
    <x v="1"/>
    <n v="19"/>
    <x v="1"/>
    <x v="1"/>
    <n v="6"/>
    <n v="1563"/>
    <n v="9378"/>
    <x v="2"/>
  </r>
  <r>
    <n v="1182"/>
    <x v="18"/>
    <n v="37"/>
    <x v="1"/>
    <x v="1"/>
    <n v="9"/>
    <x v="0"/>
    <x v="0"/>
    <n v="2"/>
    <n v="1047"/>
    <n v="2094"/>
    <x v="3"/>
  </r>
  <r>
    <n v="1183"/>
    <x v="3"/>
    <n v="7"/>
    <x v="9"/>
    <x v="3"/>
    <n v="17"/>
    <x v="4"/>
    <x v="2"/>
    <n v="8"/>
    <n v="1320"/>
    <n v="10560"/>
    <x v="0"/>
  </r>
  <r>
    <n v="1184"/>
    <x v="62"/>
    <n v="22"/>
    <x v="29"/>
    <x v="2"/>
    <n v="1"/>
    <x v="8"/>
    <x v="0"/>
    <n v="9"/>
    <n v="574"/>
    <n v="5166"/>
    <x v="0"/>
  </r>
  <r>
    <n v="1185"/>
    <x v="118"/>
    <n v="30"/>
    <x v="6"/>
    <x v="3"/>
    <n v="18"/>
    <x v="5"/>
    <x v="1"/>
    <n v="9"/>
    <n v="1099"/>
    <n v="9891"/>
    <x v="0"/>
  </r>
  <r>
    <n v="1186"/>
    <x v="57"/>
    <n v="6"/>
    <x v="30"/>
    <x v="3"/>
    <n v="2"/>
    <x v="10"/>
    <x v="1"/>
    <n v="8"/>
    <n v="481"/>
    <n v="3848"/>
    <x v="3"/>
  </r>
  <r>
    <n v="1187"/>
    <x v="119"/>
    <n v="38"/>
    <x v="17"/>
    <x v="1"/>
    <n v="12"/>
    <x v="2"/>
    <x v="1"/>
    <n v="6"/>
    <n v="1539"/>
    <n v="9234"/>
    <x v="1"/>
  </r>
  <r>
    <n v="1188"/>
    <x v="120"/>
    <n v="43"/>
    <x v="35"/>
    <x v="2"/>
    <n v="17"/>
    <x v="4"/>
    <x v="2"/>
    <n v="2"/>
    <n v="1320"/>
    <n v="2640"/>
    <x v="0"/>
  </r>
  <r>
    <n v="1189"/>
    <x v="87"/>
    <n v="10"/>
    <x v="26"/>
    <x v="1"/>
    <n v="10"/>
    <x v="13"/>
    <x v="3"/>
    <n v="9"/>
    <n v="273"/>
    <n v="2457"/>
    <x v="0"/>
  </r>
  <r>
    <n v="1190"/>
    <x v="38"/>
    <n v="14"/>
    <x v="44"/>
    <x v="2"/>
    <n v="8"/>
    <x v="9"/>
    <x v="1"/>
    <n v="6"/>
    <n v="1924"/>
    <n v="11544"/>
    <x v="3"/>
  </r>
  <r>
    <n v="1191"/>
    <x v="14"/>
    <n v="14"/>
    <x v="44"/>
    <x v="2"/>
    <n v="9"/>
    <x v="0"/>
    <x v="0"/>
    <n v="8"/>
    <n v="1047"/>
    <n v="8376"/>
    <x v="2"/>
  </r>
  <r>
    <n v="1192"/>
    <x v="121"/>
    <n v="1"/>
    <x v="15"/>
    <x v="2"/>
    <n v="10"/>
    <x v="13"/>
    <x v="3"/>
    <n v="9"/>
    <n v="273"/>
    <n v="2457"/>
    <x v="2"/>
  </r>
  <r>
    <n v="1193"/>
    <x v="41"/>
    <n v="24"/>
    <x v="38"/>
    <x v="3"/>
    <n v="6"/>
    <x v="16"/>
    <x v="3"/>
    <n v="7"/>
    <n v="1421"/>
    <n v="9947"/>
    <x v="0"/>
  </r>
  <r>
    <n v="1194"/>
    <x v="52"/>
    <n v="14"/>
    <x v="44"/>
    <x v="2"/>
    <n v="20"/>
    <x v="18"/>
    <x v="2"/>
    <n v="3"/>
    <n v="1558"/>
    <n v="4674"/>
    <x v="1"/>
  </r>
  <r>
    <n v="1195"/>
    <x v="122"/>
    <n v="16"/>
    <x v="12"/>
    <x v="1"/>
    <n v="11"/>
    <x v="17"/>
    <x v="0"/>
    <n v="5"/>
    <n v="1093"/>
    <n v="5465"/>
    <x v="1"/>
  </r>
  <r>
    <n v="1196"/>
    <x v="86"/>
    <n v="10"/>
    <x v="26"/>
    <x v="1"/>
    <n v="18"/>
    <x v="5"/>
    <x v="1"/>
    <n v="2"/>
    <n v="1099"/>
    <n v="2198"/>
    <x v="0"/>
  </r>
  <r>
    <n v="1197"/>
    <x v="123"/>
    <n v="21"/>
    <x v="23"/>
    <x v="3"/>
    <n v="5"/>
    <x v="7"/>
    <x v="2"/>
    <n v="5"/>
    <n v="632"/>
    <n v="3160"/>
    <x v="3"/>
  </r>
  <r>
    <n v="1198"/>
    <x v="11"/>
    <n v="10"/>
    <x v="26"/>
    <x v="1"/>
    <n v="10"/>
    <x v="13"/>
    <x v="3"/>
    <n v="5"/>
    <n v="273"/>
    <n v="1365"/>
    <x v="3"/>
  </r>
  <r>
    <n v="1199"/>
    <x v="99"/>
    <n v="48"/>
    <x v="4"/>
    <x v="0"/>
    <n v="16"/>
    <x v="12"/>
    <x v="2"/>
    <n v="2"/>
    <n v="1948"/>
    <n v="3896"/>
    <x v="1"/>
  </r>
  <r>
    <n v="1200"/>
    <x v="124"/>
    <n v="50"/>
    <x v="41"/>
    <x v="2"/>
    <n v="17"/>
    <x v="4"/>
    <x v="2"/>
    <n v="8"/>
    <n v="1320"/>
    <n v="10560"/>
    <x v="1"/>
  </r>
  <r>
    <n v="2007"/>
    <x v="125"/>
    <n v="24"/>
    <x v="38"/>
    <x v="3"/>
    <n v="9"/>
    <x v="0"/>
    <x v="0"/>
    <n v="7"/>
    <n v="1047"/>
    <n v="7329"/>
    <x v="1"/>
  </r>
  <r>
    <n v="2008"/>
    <x v="126"/>
    <n v="27"/>
    <x v="24"/>
    <x v="3"/>
    <n v="3"/>
    <x v="19"/>
    <x v="2"/>
    <n v="3"/>
    <n v="1214"/>
    <n v="3642"/>
    <x v="0"/>
  </r>
  <r>
    <n v="2009"/>
    <x v="127"/>
    <n v="11"/>
    <x v="45"/>
    <x v="3"/>
    <n v="1"/>
    <x v="8"/>
    <x v="0"/>
    <n v="3"/>
    <n v="574"/>
    <n v="1722"/>
    <x v="0"/>
  </r>
  <r>
    <n v="2010"/>
    <x v="128"/>
    <n v="16"/>
    <x v="12"/>
    <x v="1"/>
    <n v="16"/>
    <x v="12"/>
    <x v="2"/>
    <n v="3"/>
    <n v="1948"/>
    <n v="5844"/>
    <x v="3"/>
  </r>
  <r>
    <n v="2011"/>
    <x v="129"/>
    <n v="6"/>
    <x v="30"/>
    <x v="3"/>
    <n v="10"/>
    <x v="13"/>
    <x v="3"/>
    <n v="2"/>
    <n v="273"/>
    <n v="546"/>
    <x v="1"/>
  </r>
  <r>
    <n v="2012"/>
    <x v="130"/>
    <n v="2"/>
    <x v="0"/>
    <x v="0"/>
    <n v="1"/>
    <x v="8"/>
    <x v="0"/>
    <n v="8"/>
    <n v="574"/>
    <n v="4592"/>
    <x v="2"/>
  </r>
  <r>
    <n v="2013"/>
    <x v="131"/>
    <n v="26"/>
    <x v="14"/>
    <x v="0"/>
    <n v="12"/>
    <x v="2"/>
    <x v="1"/>
    <n v="9"/>
    <n v="1539"/>
    <n v="13851"/>
    <x v="0"/>
  </r>
  <r>
    <n v="2014"/>
    <x v="132"/>
    <n v="14"/>
    <x v="44"/>
    <x v="2"/>
    <n v="11"/>
    <x v="17"/>
    <x v="0"/>
    <n v="2"/>
    <n v="1093"/>
    <n v="2186"/>
    <x v="2"/>
  </r>
  <r>
    <n v="2015"/>
    <x v="133"/>
    <n v="31"/>
    <x v="16"/>
    <x v="2"/>
    <n v="13"/>
    <x v="6"/>
    <x v="1"/>
    <n v="3"/>
    <n v="1267"/>
    <n v="3801"/>
    <x v="0"/>
  </r>
  <r>
    <n v="2016"/>
    <x v="134"/>
    <n v="33"/>
    <x v="37"/>
    <x v="1"/>
    <n v="20"/>
    <x v="18"/>
    <x v="2"/>
    <n v="10"/>
    <n v="1558"/>
    <n v="15580"/>
    <x v="1"/>
  </r>
  <r>
    <n v="2017"/>
    <x v="135"/>
    <n v="22"/>
    <x v="29"/>
    <x v="2"/>
    <n v="13"/>
    <x v="6"/>
    <x v="1"/>
    <n v="6"/>
    <n v="1267"/>
    <n v="7602"/>
    <x v="3"/>
  </r>
  <r>
    <n v="2018"/>
    <x v="136"/>
    <n v="32"/>
    <x v="36"/>
    <x v="3"/>
    <n v="15"/>
    <x v="14"/>
    <x v="0"/>
    <n v="7"/>
    <n v="976"/>
    <n v="6832"/>
    <x v="2"/>
  </r>
  <r>
    <n v="2019"/>
    <x v="137"/>
    <n v="19"/>
    <x v="39"/>
    <x v="2"/>
    <n v="9"/>
    <x v="0"/>
    <x v="0"/>
    <n v="3"/>
    <n v="1047"/>
    <n v="3141"/>
    <x v="0"/>
  </r>
  <r>
    <n v="2050"/>
    <x v="138"/>
    <n v="39"/>
    <x v="8"/>
    <x v="0"/>
    <n v="3"/>
    <x v="19"/>
    <x v="2"/>
    <n v="4"/>
    <n v="1214"/>
    <n v="4856"/>
    <x v="2"/>
  </r>
  <r>
    <n v="2051"/>
    <x v="139"/>
    <n v="15"/>
    <x v="31"/>
    <x v="3"/>
    <n v="19"/>
    <x v="1"/>
    <x v="1"/>
    <n v="1"/>
    <n v="1563"/>
    <n v="1563"/>
    <x v="3"/>
  </r>
  <r>
    <n v="2052"/>
    <x v="140"/>
    <n v="36"/>
    <x v="25"/>
    <x v="2"/>
    <n v="13"/>
    <x v="6"/>
    <x v="1"/>
    <n v="8"/>
    <n v="1267"/>
    <n v="10136"/>
    <x v="2"/>
  </r>
  <r>
    <n v="2053"/>
    <x v="141"/>
    <n v="26"/>
    <x v="14"/>
    <x v="0"/>
    <n v="3"/>
    <x v="19"/>
    <x v="2"/>
    <n v="4"/>
    <n v="1214"/>
    <n v="4856"/>
    <x v="1"/>
  </r>
  <r>
    <n v="2054"/>
    <x v="142"/>
    <n v="40"/>
    <x v="3"/>
    <x v="3"/>
    <n v="7"/>
    <x v="15"/>
    <x v="3"/>
    <n v="5"/>
    <n v="1625"/>
    <n v="8125"/>
    <x v="3"/>
  </r>
  <r>
    <n v="2055"/>
    <x v="143"/>
    <n v="1"/>
    <x v="15"/>
    <x v="2"/>
    <n v="14"/>
    <x v="3"/>
    <x v="0"/>
    <n v="9"/>
    <n v="204"/>
    <n v="1836"/>
    <x v="1"/>
  </r>
  <r>
    <n v="2056"/>
    <x v="144"/>
    <n v="41"/>
    <x v="47"/>
    <x v="3"/>
    <n v="19"/>
    <x v="1"/>
    <x v="1"/>
    <n v="4"/>
    <n v="1563"/>
    <n v="6252"/>
    <x v="2"/>
  </r>
  <r>
    <n v="2057"/>
    <x v="145"/>
    <n v="49"/>
    <x v="27"/>
    <x v="3"/>
    <n v="5"/>
    <x v="7"/>
    <x v="2"/>
    <n v="9"/>
    <n v="632"/>
    <n v="5688"/>
    <x v="3"/>
  </r>
  <r>
    <n v="2058"/>
    <x v="127"/>
    <n v="19"/>
    <x v="39"/>
    <x v="2"/>
    <n v="8"/>
    <x v="9"/>
    <x v="1"/>
    <n v="5"/>
    <n v="1924"/>
    <n v="9620"/>
    <x v="2"/>
  </r>
  <r>
    <n v="2059"/>
    <x v="141"/>
    <n v="39"/>
    <x v="8"/>
    <x v="0"/>
    <n v="11"/>
    <x v="17"/>
    <x v="0"/>
    <n v="3"/>
    <n v="1093"/>
    <n v="3279"/>
    <x v="2"/>
  </r>
  <r>
    <n v="2060"/>
    <x v="146"/>
    <n v="20"/>
    <x v="48"/>
    <x v="1"/>
    <n v="15"/>
    <x v="14"/>
    <x v="0"/>
    <n v="4"/>
    <n v="976"/>
    <n v="3904"/>
    <x v="0"/>
  </r>
  <r>
    <n v="2061"/>
    <x v="147"/>
    <n v="50"/>
    <x v="41"/>
    <x v="2"/>
    <n v="3"/>
    <x v="19"/>
    <x v="2"/>
    <n v="6"/>
    <n v="1214"/>
    <n v="7284"/>
    <x v="0"/>
  </r>
  <r>
    <n v="2062"/>
    <x v="148"/>
    <n v="48"/>
    <x v="4"/>
    <x v="0"/>
    <n v="16"/>
    <x v="12"/>
    <x v="2"/>
    <n v="5"/>
    <n v="1948"/>
    <n v="9740"/>
    <x v="1"/>
  </r>
  <r>
    <n v="2063"/>
    <x v="149"/>
    <n v="44"/>
    <x v="32"/>
    <x v="1"/>
    <n v="16"/>
    <x v="12"/>
    <x v="2"/>
    <n v="3"/>
    <n v="1948"/>
    <n v="5844"/>
    <x v="2"/>
  </r>
  <r>
    <n v="2064"/>
    <x v="150"/>
    <n v="30"/>
    <x v="6"/>
    <x v="3"/>
    <n v="20"/>
    <x v="18"/>
    <x v="2"/>
    <n v="2"/>
    <n v="1558"/>
    <n v="3116"/>
    <x v="2"/>
  </r>
  <r>
    <n v="2065"/>
    <x v="151"/>
    <n v="17"/>
    <x v="13"/>
    <x v="3"/>
    <n v="16"/>
    <x v="12"/>
    <x v="2"/>
    <n v="5"/>
    <n v="1948"/>
    <n v="9740"/>
    <x v="0"/>
  </r>
  <r>
    <n v="2066"/>
    <x v="152"/>
    <n v="33"/>
    <x v="37"/>
    <x v="1"/>
    <n v="20"/>
    <x v="18"/>
    <x v="2"/>
    <n v="10"/>
    <n v="1558"/>
    <n v="15580"/>
    <x v="3"/>
  </r>
  <r>
    <n v="2067"/>
    <x v="153"/>
    <n v="2"/>
    <x v="0"/>
    <x v="0"/>
    <n v="16"/>
    <x v="12"/>
    <x v="2"/>
    <n v="3"/>
    <n v="1948"/>
    <n v="5844"/>
    <x v="0"/>
  </r>
  <r>
    <n v="2068"/>
    <x v="154"/>
    <n v="5"/>
    <x v="7"/>
    <x v="3"/>
    <n v="7"/>
    <x v="15"/>
    <x v="3"/>
    <n v="7"/>
    <n v="1625"/>
    <n v="11375"/>
    <x v="3"/>
  </r>
  <r>
    <n v="2069"/>
    <x v="155"/>
    <n v="24"/>
    <x v="38"/>
    <x v="3"/>
    <n v="18"/>
    <x v="5"/>
    <x v="1"/>
    <n v="2"/>
    <n v="1099"/>
    <n v="2198"/>
    <x v="2"/>
  </r>
  <r>
    <n v="2070"/>
    <x v="156"/>
    <n v="35"/>
    <x v="19"/>
    <x v="0"/>
    <n v="7"/>
    <x v="15"/>
    <x v="3"/>
    <n v="3"/>
    <n v="1625"/>
    <n v="4875"/>
    <x v="0"/>
  </r>
  <r>
    <n v="2071"/>
    <x v="157"/>
    <n v="7"/>
    <x v="9"/>
    <x v="3"/>
    <n v="8"/>
    <x v="9"/>
    <x v="1"/>
    <n v="7"/>
    <n v="1924"/>
    <n v="13468"/>
    <x v="2"/>
  </r>
  <r>
    <n v="2072"/>
    <x v="158"/>
    <n v="45"/>
    <x v="11"/>
    <x v="0"/>
    <n v="17"/>
    <x v="4"/>
    <x v="2"/>
    <n v="9"/>
    <n v="1320"/>
    <n v="11880"/>
    <x v="3"/>
  </r>
  <r>
    <n v="2073"/>
    <x v="159"/>
    <n v="49"/>
    <x v="27"/>
    <x v="3"/>
    <n v="12"/>
    <x v="2"/>
    <x v="1"/>
    <n v="4"/>
    <n v="1539"/>
    <n v="6156"/>
    <x v="1"/>
  </r>
  <r>
    <n v="2074"/>
    <x v="126"/>
    <n v="20"/>
    <x v="48"/>
    <x v="1"/>
    <n v="9"/>
    <x v="0"/>
    <x v="0"/>
    <n v="8"/>
    <n v="1047"/>
    <n v="8376"/>
    <x v="2"/>
  </r>
  <r>
    <n v="2075"/>
    <x v="160"/>
    <n v="39"/>
    <x v="8"/>
    <x v="0"/>
    <n v="18"/>
    <x v="5"/>
    <x v="1"/>
    <n v="10"/>
    <n v="1099"/>
    <n v="10990"/>
    <x v="1"/>
  </r>
  <r>
    <n v="2076"/>
    <x v="161"/>
    <n v="19"/>
    <x v="39"/>
    <x v="2"/>
    <n v="16"/>
    <x v="12"/>
    <x v="2"/>
    <n v="8"/>
    <n v="1948"/>
    <n v="15584"/>
    <x v="2"/>
  </r>
  <r>
    <n v="2077"/>
    <x v="162"/>
    <n v="36"/>
    <x v="25"/>
    <x v="2"/>
    <n v="18"/>
    <x v="5"/>
    <x v="1"/>
    <n v="1"/>
    <n v="1099"/>
    <n v="1099"/>
    <x v="0"/>
  </r>
  <r>
    <n v="2078"/>
    <x v="163"/>
    <n v="1"/>
    <x v="15"/>
    <x v="2"/>
    <n v="2"/>
    <x v="10"/>
    <x v="1"/>
    <n v="8"/>
    <n v="481"/>
    <n v="3848"/>
    <x v="2"/>
  </r>
  <r>
    <n v="2079"/>
    <x v="164"/>
    <n v="3"/>
    <x v="43"/>
    <x v="1"/>
    <n v="4"/>
    <x v="11"/>
    <x v="0"/>
    <n v="3"/>
    <n v="1380"/>
    <n v="4140"/>
    <x v="1"/>
  </r>
  <r>
    <n v="2080"/>
    <x v="165"/>
    <n v="6"/>
    <x v="30"/>
    <x v="3"/>
    <n v="13"/>
    <x v="6"/>
    <x v="1"/>
    <n v="2"/>
    <n v="1267"/>
    <n v="2534"/>
    <x v="3"/>
  </r>
  <r>
    <n v="2081"/>
    <x v="166"/>
    <n v="18"/>
    <x v="49"/>
    <x v="2"/>
    <n v="6"/>
    <x v="16"/>
    <x v="3"/>
    <n v="3"/>
    <n v="1421"/>
    <n v="4263"/>
    <x v="1"/>
  </r>
  <r>
    <n v="2082"/>
    <x v="167"/>
    <n v="9"/>
    <x v="2"/>
    <x v="2"/>
    <n v="18"/>
    <x v="5"/>
    <x v="1"/>
    <n v="5"/>
    <n v="1099"/>
    <n v="549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C9FECE-766C-4AFE-B3F3-4370F8242EAD}" name="PivotTable1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D78:BD79" firstHeaderRow="1" firstDataRow="1" firstDataCol="0"/>
  <pivotFields count="1">
    <pivotField dataField="1" subtotalTop="0" showAll="0" defaultSubtotal="0"/>
  </pivotFields>
  <rowItems count="1">
    <i/>
  </rowItems>
  <colItems count="1">
    <i/>
  </colItems>
  <dataFields count="1">
    <dataField name="Distinct Count of CustomerID" fld="0" subtotal="count" baseField="0" baseItem="0">
      <extLst>
        <ext xmlns:x15="http://schemas.microsoft.com/office/spreadsheetml/2010/11/main" uri="{FABC7310-3BB5-11E1-824E-6D434824019B}">
          <x15:dataField isCountDistinct="1"/>
        </ext>
      </extLst>
    </dataField>
  </dataField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ID"/>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DB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EA388E-7196-471A-A799-B1C835084188}" name="PivotTable3" cacheId="0" applyNumberFormats="0" applyBorderFormats="0" applyFontFormats="0" applyPatternFormats="0" applyAlignmentFormats="0" applyWidthHeightFormats="1" dataCaption="Values" updatedVersion="8" minRefreshableVersion="3" showDrill="0" itemPrintTitles="1" createdVersion="8" indent="0" outline="1" outlineData="1" multipleFieldFilters="0" chartFormat="30">
  <location ref="BD49:BE62" firstHeaderRow="1" firstDataRow="1" firstDataCol="1"/>
  <pivotFields count="13">
    <pivotField showAll="0"/>
    <pivotField showAll="0">
      <items count="169">
        <item x="123"/>
        <item x="109"/>
        <item x="79"/>
        <item x="22"/>
        <item x="42"/>
        <item x="98"/>
        <item x="47"/>
        <item x="106"/>
        <item x="44"/>
        <item x="1"/>
        <item x="113"/>
        <item x="46"/>
        <item x="89"/>
        <item x="87"/>
        <item x="32"/>
        <item x="49"/>
        <item x="60"/>
        <item x="85"/>
        <item x="120"/>
        <item x="102"/>
        <item x="112"/>
        <item x="27"/>
        <item x="94"/>
        <item x="114"/>
        <item x="65"/>
        <item x="84"/>
        <item x="81"/>
        <item x="9"/>
        <item x="70"/>
        <item x="6"/>
        <item x="52"/>
        <item x="26"/>
        <item x="82"/>
        <item x="110"/>
        <item x="115"/>
        <item x="14"/>
        <item x="124"/>
        <item x="99"/>
        <item x="105"/>
        <item x="31"/>
        <item x="76"/>
        <item x="86"/>
        <item x="83"/>
        <item x="20"/>
        <item x="97"/>
        <item x="116"/>
        <item x="28"/>
        <item x="92"/>
        <item x="23"/>
        <item x="107"/>
        <item x="78"/>
        <item x="101"/>
        <item x="19"/>
        <item x="80"/>
        <item x="77"/>
        <item x="62"/>
        <item x="71"/>
        <item x="18"/>
        <item x="122"/>
        <item x="72"/>
        <item x="10"/>
        <item x="2"/>
        <item x="3"/>
        <item x="40"/>
        <item x="66"/>
        <item x="104"/>
        <item x="59"/>
        <item x="11"/>
        <item x="61"/>
        <item x="48"/>
        <item x="95"/>
        <item x="29"/>
        <item x="7"/>
        <item x="108"/>
        <item x="103"/>
        <item x="25"/>
        <item x="50"/>
        <item x="58"/>
        <item x="8"/>
        <item x="16"/>
        <item x="64"/>
        <item x="63"/>
        <item x="88"/>
        <item x="67"/>
        <item x="36"/>
        <item x="56"/>
        <item x="91"/>
        <item x="17"/>
        <item x="75"/>
        <item x="121"/>
        <item x="100"/>
        <item x="111"/>
        <item x="74"/>
        <item x="73"/>
        <item x="24"/>
        <item x="39"/>
        <item x="90"/>
        <item x="117"/>
        <item x="30"/>
        <item x="0"/>
        <item x="12"/>
        <item x="37"/>
        <item x="35"/>
        <item x="4"/>
        <item x="93"/>
        <item x="38"/>
        <item x="15"/>
        <item x="119"/>
        <item x="53"/>
        <item x="45"/>
        <item x="68"/>
        <item x="57"/>
        <item x="51"/>
        <item x="41"/>
        <item x="33"/>
        <item x="43"/>
        <item x="13"/>
        <item x="69"/>
        <item x="118"/>
        <item x="96"/>
        <item x="21"/>
        <item x="55"/>
        <item x="34"/>
        <item x="5"/>
        <item x="54"/>
        <item x="152"/>
        <item x="144"/>
        <item x="167"/>
        <item x="154"/>
        <item x="161"/>
        <item x="148"/>
        <item x="160"/>
        <item x="162"/>
        <item x="138"/>
        <item x="151"/>
        <item x="131"/>
        <item x="163"/>
        <item x="143"/>
        <item x="158"/>
        <item x="125"/>
        <item x="150"/>
        <item x="130"/>
        <item x="126"/>
        <item x="129"/>
        <item x="145"/>
        <item x="127"/>
        <item x="147"/>
        <item x="137"/>
        <item x="135"/>
        <item x="146"/>
        <item x="142"/>
        <item x="165"/>
        <item x="141"/>
        <item x="133"/>
        <item x="140"/>
        <item x="134"/>
        <item x="156"/>
        <item x="159"/>
        <item x="153"/>
        <item x="155"/>
        <item x="139"/>
        <item x="166"/>
        <item x="164"/>
        <item x="128"/>
        <item x="136"/>
        <item x="149"/>
        <item x="132"/>
        <item x="157"/>
        <item t="default"/>
      </items>
    </pivotField>
    <pivotField showAll="0"/>
    <pivotField showAll="0"/>
    <pivotField showAll="0">
      <items count="5">
        <item x="1"/>
        <item x="2"/>
        <item x="0"/>
        <item x="3"/>
        <item t="default"/>
      </items>
    </pivotField>
    <pivotField showAll="0"/>
    <pivotField showAll="0"/>
    <pivotField showAll="0">
      <items count="5">
        <item x="2"/>
        <item x="3"/>
        <item x="0"/>
        <item x="1"/>
        <item t="default"/>
      </items>
    </pivotField>
    <pivotField showAll="0"/>
    <pivotField showAll="0"/>
    <pivotField dataField="1" showAll="0"/>
    <pivotField compact="0" showAll="0">
      <items count="5">
        <item x="2"/>
        <item x="0"/>
        <item x="3"/>
        <item x="1"/>
        <item t="default"/>
      </items>
    </pivotField>
    <pivotField axis="axisRow" showAll="0">
      <items count="15">
        <item x="0"/>
        <item x="1"/>
        <item x="2"/>
        <item x="3"/>
        <item x="4"/>
        <item x="5"/>
        <item x="6"/>
        <item x="7"/>
        <item x="8"/>
        <item x="9"/>
        <item x="10"/>
        <item x="11"/>
        <item x="12"/>
        <item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TotalAmount" fld="10" baseField="0" baseItem="0"/>
  </dataFields>
  <chartFormats count="3">
    <chartFormat chart="18"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A31EFF-68BF-4E41-8233-EA02A123C71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PRODUCT NAME">
  <location ref="BD64:BE75" firstHeaderRow="1" firstDataRow="1" firstDataCol="1"/>
  <pivotFields count="13">
    <pivotField showAll="0"/>
    <pivotField showAll="0">
      <items count="169">
        <item x="123"/>
        <item x="109"/>
        <item x="79"/>
        <item x="22"/>
        <item x="42"/>
        <item x="98"/>
        <item x="47"/>
        <item x="106"/>
        <item x="44"/>
        <item x="1"/>
        <item x="113"/>
        <item x="46"/>
        <item x="89"/>
        <item x="87"/>
        <item x="32"/>
        <item x="49"/>
        <item x="60"/>
        <item x="85"/>
        <item x="120"/>
        <item x="102"/>
        <item x="112"/>
        <item x="27"/>
        <item x="94"/>
        <item x="114"/>
        <item x="65"/>
        <item x="84"/>
        <item x="81"/>
        <item x="9"/>
        <item x="70"/>
        <item x="6"/>
        <item x="52"/>
        <item x="26"/>
        <item x="82"/>
        <item x="110"/>
        <item x="115"/>
        <item x="14"/>
        <item x="124"/>
        <item x="99"/>
        <item x="105"/>
        <item x="31"/>
        <item x="76"/>
        <item x="86"/>
        <item x="83"/>
        <item x="20"/>
        <item x="97"/>
        <item x="116"/>
        <item x="28"/>
        <item x="92"/>
        <item x="23"/>
        <item x="107"/>
        <item x="78"/>
        <item x="101"/>
        <item x="19"/>
        <item x="80"/>
        <item x="77"/>
        <item x="62"/>
        <item x="71"/>
        <item x="18"/>
        <item x="122"/>
        <item x="72"/>
        <item x="10"/>
        <item x="2"/>
        <item x="3"/>
        <item x="40"/>
        <item x="66"/>
        <item x="104"/>
        <item x="59"/>
        <item x="11"/>
        <item x="61"/>
        <item x="48"/>
        <item x="95"/>
        <item x="29"/>
        <item x="7"/>
        <item x="108"/>
        <item x="103"/>
        <item x="25"/>
        <item x="50"/>
        <item x="58"/>
        <item x="8"/>
        <item x="16"/>
        <item x="64"/>
        <item x="63"/>
        <item x="88"/>
        <item x="67"/>
        <item x="36"/>
        <item x="56"/>
        <item x="91"/>
        <item x="17"/>
        <item x="75"/>
        <item x="121"/>
        <item x="100"/>
        <item x="111"/>
        <item x="74"/>
        <item x="73"/>
        <item x="24"/>
        <item x="39"/>
        <item x="90"/>
        <item x="117"/>
        <item x="30"/>
        <item x="0"/>
        <item x="12"/>
        <item x="37"/>
        <item x="35"/>
        <item x="4"/>
        <item x="93"/>
        <item x="38"/>
        <item x="15"/>
        <item x="119"/>
        <item x="53"/>
        <item x="45"/>
        <item x="68"/>
        <item x="57"/>
        <item x="51"/>
        <item x="41"/>
        <item x="33"/>
        <item x="43"/>
        <item x="13"/>
        <item x="69"/>
        <item x="118"/>
        <item x="96"/>
        <item x="21"/>
        <item x="55"/>
        <item x="34"/>
        <item x="5"/>
        <item x="54"/>
        <item x="152"/>
        <item x="144"/>
        <item x="167"/>
        <item x="154"/>
        <item x="161"/>
        <item x="148"/>
        <item x="160"/>
        <item x="162"/>
        <item x="138"/>
        <item x="151"/>
        <item x="131"/>
        <item x="163"/>
        <item x="143"/>
        <item x="158"/>
        <item x="125"/>
        <item x="150"/>
        <item x="130"/>
        <item x="126"/>
        <item x="129"/>
        <item x="145"/>
        <item x="127"/>
        <item x="147"/>
        <item x="137"/>
        <item x="135"/>
        <item x="146"/>
        <item x="142"/>
        <item x="165"/>
        <item x="141"/>
        <item x="133"/>
        <item x="140"/>
        <item x="134"/>
        <item x="156"/>
        <item x="159"/>
        <item x="153"/>
        <item x="155"/>
        <item x="139"/>
        <item x="166"/>
        <item x="164"/>
        <item x="128"/>
        <item x="136"/>
        <item x="149"/>
        <item x="132"/>
        <item x="157"/>
        <item t="default"/>
      </items>
    </pivotField>
    <pivotField showAll="0"/>
    <pivotField showAll="0"/>
    <pivotField showAll="0">
      <items count="5">
        <item x="1"/>
        <item x="2"/>
        <item x="0"/>
        <item x="3"/>
        <item t="default"/>
      </items>
    </pivotField>
    <pivotField showAll="0"/>
    <pivotField axis="axisRow" showAll="0" measureFilter="1" sortType="descending">
      <items count="21">
        <item x="8"/>
        <item x="13"/>
        <item x="17"/>
        <item x="2"/>
        <item x="6"/>
        <item x="3"/>
        <item x="14"/>
        <item x="12"/>
        <item x="4"/>
        <item x="5"/>
        <item x="1"/>
        <item x="10"/>
        <item x="18"/>
        <item x="19"/>
        <item x="11"/>
        <item x="7"/>
        <item x="16"/>
        <item x="15"/>
        <item x="9"/>
        <item x="0"/>
        <item t="default"/>
      </items>
      <autoSortScope>
        <pivotArea dataOnly="0" outline="0" fieldPosition="0">
          <references count="1">
            <reference field="4294967294" count="1" selected="0">
              <x v="0"/>
            </reference>
          </references>
        </pivotArea>
      </autoSortScope>
    </pivotField>
    <pivotField showAll="0">
      <items count="5">
        <item x="2"/>
        <item x="3"/>
        <item x="0"/>
        <item x="1"/>
        <item t="default"/>
      </items>
    </pivotField>
    <pivotField showAll="0"/>
    <pivotField showAll="0"/>
    <pivotField dataField="1" showAll="0"/>
    <pivotField compact="0" showAll="0">
      <items count="5">
        <item x="2"/>
        <item x="0"/>
        <item x="3"/>
        <item x="1"/>
        <item t="default"/>
      </items>
    </pivotField>
    <pivotField showAll="0">
      <items count="15">
        <item x="0"/>
        <item x="1"/>
        <item x="2"/>
        <item x="3"/>
        <item x="4"/>
        <item x="5"/>
        <item x="6"/>
        <item x="7"/>
        <item x="8"/>
        <item x="9"/>
        <item x="10"/>
        <item x="11"/>
        <item x="12"/>
        <item x="13"/>
        <item t="default"/>
      </items>
    </pivotField>
  </pivotFields>
  <rowFields count="1">
    <field x="6"/>
  </rowFields>
  <rowItems count="11">
    <i>
      <x v="18"/>
    </i>
    <i>
      <x v="7"/>
    </i>
    <i>
      <x v="3"/>
    </i>
    <i>
      <x v="4"/>
    </i>
    <i>
      <x v="8"/>
    </i>
    <i>
      <x v="12"/>
    </i>
    <i>
      <x v="10"/>
    </i>
    <i>
      <x v="19"/>
    </i>
    <i>
      <x v="13"/>
    </i>
    <i>
      <x v="17"/>
    </i>
    <i t="grand">
      <x/>
    </i>
  </rowItems>
  <colItems count="1">
    <i/>
  </colItems>
  <dataFields count="1">
    <dataField name="Sum of TotalAmount" fld="10" baseField="6" baseItem="18"/>
  </dataFields>
  <chartFormats count="3">
    <chartFormat chart="18"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065994-5D50-48B8-AFB1-E31E5004CE24}" name="PivotTable9" cacheId="0" applyNumberFormats="0" applyBorderFormats="0" applyFontFormats="0" applyPatternFormats="0" applyAlignmentFormats="0" applyWidthHeightFormats="1" dataCaption="Values" updatedVersion="8" minRefreshableVersion="3" showDrill="0" itemPrintTitles="1" createdVersion="8" indent="0" outline="1" outlineData="1" multipleFieldFilters="0" chartFormat="16">
  <location ref="BD39:BD40" firstHeaderRow="1" firstDataRow="1" firstDataCol="0"/>
  <pivotFields count="13">
    <pivotField showAll="0"/>
    <pivotField showAll="0">
      <items count="169">
        <item x="123"/>
        <item x="109"/>
        <item x="79"/>
        <item x="22"/>
        <item x="42"/>
        <item x="98"/>
        <item x="47"/>
        <item x="106"/>
        <item x="44"/>
        <item x="1"/>
        <item x="113"/>
        <item x="46"/>
        <item x="89"/>
        <item x="87"/>
        <item x="32"/>
        <item x="49"/>
        <item x="60"/>
        <item x="85"/>
        <item x="120"/>
        <item x="102"/>
        <item x="112"/>
        <item x="27"/>
        <item x="94"/>
        <item x="114"/>
        <item x="65"/>
        <item x="84"/>
        <item x="81"/>
        <item x="9"/>
        <item x="70"/>
        <item x="6"/>
        <item x="52"/>
        <item x="26"/>
        <item x="82"/>
        <item x="110"/>
        <item x="115"/>
        <item x="14"/>
        <item x="124"/>
        <item x="99"/>
        <item x="105"/>
        <item x="31"/>
        <item x="76"/>
        <item x="86"/>
        <item x="83"/>
        <item x="20"/>
        <item x="97"/>
        <item x="116"/>
        <item x="28"/>
        <item x="92"/>
        <item x="23"/>
        <item x="107"/>
        <item x="78"/>
        <item x="101"/>
        <item x="19"/>
        <item x="80"/>
        <item x="77"/>
        <item x="62"/>
        <item x="71"/>
        <item x="18"/>
        <item x="122"/>
        <item x="72"/>
        <item x="10"/>
        <item x="2"/>
        <item x="3"/>
        <item x="40"/>
        <item x="66"/>
        <item x="104"/>
        <item x="59"/>
        <item x="11"/>
        <item x="61"/>
        <item x="48"/>
        <item x="95"/>
        <item x="29"/>
        <item x="7"/>
        <item x="108"/>
        <item x="103"/>
        <item x="25"/>
        <item x="50"/>
        <item x="58"/>
        <item x="8"/>
        <item x="16"/>
        <item x="64"/>
        <item x="63"/>
        <item x="88"/>
        <item x="67"/>
        <item x="36"/>
        <item x="56"/>
        <item x="91"/>
        <item x="17"/>
        <item x="75"/>
        <item x="121"/>
        <item x="100"/>
        <item x="111"/>
        <item x="74"/>
        <item x="73"/>
        <item x="24"/>
        <item x="39"/>
        <item x="90"/>
        <item x="117"/>
        <item x="30"/>
        <item x="0"/>
        <item x="12"/>
        <item x="37"/>
        <item x="35"/>
        <item x="4"/>
        <item x="93"/>
        <item x="38"/>
        <item x="15"/>
        <item x="119"/>
        <item x="53"/>
        <item x="45"/>
        <item x="68"/>
        <item x="57"/>
        <item x="51"/>
        <item x="41"/>
        <item x="33"/>
        <item x="43"/>
        <item x="13"/>
        <item x="69"/>
        <item x="118"/>
        <item x="96"/>
        <item x="21"/>
        <item x="55"/>
        <item x="34"/>
        <item x="5"/>
        <item x="54"/>
        <item x="152"/>
        <item x="144"/>
        <item x="167"/>
        <item x="154"/>
        <item x="161"/>
        <item x="148"/>
        <item x="160"/>
        <item x="162"/>
        <item x="138"/>
        <item x="151"/>
        <item x="131"/>
        <item x="163"/>
        <item x="143"/>
        <item x="158"/>
        <item x="125"/>
        <item x="150"/>
        <item x="130"/>
        <item x="126"/>
        <item x="129"/>
        <item x="145"/>
        <item x="127"/>
        <item x="147"/>
        <item x="137"/>
        <item x="135"/>
        <item x="146"/>
        <item x="142"/>
        <item x="165"/>
        <item x="141"/>
        <item x="133"/>
        <item x="140"/>
        <item x="134"/>
        <item x="156"/>
        <item x="159"/>
        <item x="153"/>
        <item x="155"/>
        <item x="139"/>
        <item x="166"/>
        <item x="164"/>
        <item x="128"/>
        <item x="136"/>
        <item x="149"/>
        <item x="132"/>
        <item x="157"/>
        <item t="default"/>
      </items>
    </pivotField>
    <pivotField showAll="0"/>
    <pivotField showAll="0"/>
    <pivotField showAll="0">
      <items count="5">
        <item x="1"/>
        <item x="2"/>
        <item x="0"/>
        <item x="3"/>
        <item t="default"/>
      </items>
    </pivotField>
    <pivotField showAll="0"/>
    <pivotField showAll="0"/>
    <pivotField showAll="0">
      <items count="5">
        <item x="2"/>
        <item x="3"/>
        <item x="0"/>
        <item x="1"/>
        <item t="default"/>
      </items>
    </pivotField>
    <pivotField dataField="1" showAll="0"/>
    <pivotField showAll="0"/>
    <pivotField showAll="0"/>
    <pivotField compact="0" showAll="0">
      <items count="5">
        <item x="2"/>
        <item x="0"/>
        <item x="3"/>
        <item x="1"/>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DC1B37-E3F5-4BD6-AC53-823217DC8EF8}"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location ref="BE36:BE37" firstHeaderRow="1" firstDataRow="1" firstDataCol="0"/>
  <pivotFields count="13">
    <pivotField showAll="0"/>
    <pivotField showAll="0">
      <items count="169">
        <item x="123"/>
        <item x="109"/>
        <item x="79"/>
        <item x="22"/>
        <item x="42"/>
        <item x="98"/>
        <item x="47"/>
        <item x="106"/>
        <item x="44"/>
        <item x="1"/>
        <item x="113"/>
        <item x="46"/>
        <item x="89"/>
        <item x="87"/>
        <item x="32"/>
        <item x="49"/>
        <item x="60"/>
        <item x="85"/>
        <item x="120"/>
        <item x="102"/>
        <item x="112"/>
        <item x="27"/>
        <item x="94"/>
        <item x="114"/>
        <item x="65"/>
        <item x="84"/>
        <item x="81"/>
        <item x="9"/>
        <item x="70"/>
        <item x="6"/>
        <item x="52"/>
        <item x="26"/>
        <item x="82"/>
        <item x="110"/>
        <item x="115"/>
        <item x="14"/>
        <item x="124"/>
        <item x="99"/>
        <item x="105"/>
        <item x="31"/>
        <item x="76"/>
        <item x="86"/>
        <item x="83"/>
        <item x="20"/>
        <item x="97"/>
        <item x="116"/>
        <item x="28"/>
        <item x="92"/>
        <item x="23"/>
        <item x="107"/>
        <item x="78"/>
        <item x="101"/>
        <item x="19"/>
        <item x="80"/>
        <item x="77"/>
        <item x="62"/>
        <item x="71"/>
        <item x="18"/>
        <item x="122"/>
        <item x="72"/>
        <item x="10"/>
        <item x="2"/>
        <item x="3"/>
        <item x="40"/>
        <item x="66"/>
        <item x="104"/>
        <item x="59"/>
        <item x="11"/>
        <item x="61"/>
        <item x="48"/>
        <item x="95"/>
        <item x="29"/>
        <item x="7"/>
        <item x="108"/>
        <item x="103"/>
        <item x="25"/>
        <item x="50"/>
        <item x="58"/>
        <item x="8"/>
        <item x="16"/>
        <item x="64"/>
        <item x="63"/>
        <item x="88"/>
        <item x="67"/>
        <item x="36"/>
        <item x="56"/>
        <item x="91"/>
        <item x="17"/>
        <item x="75"/>
        <item x="121"/>
        <item x="100"/>
        <item x="111"/>
        <item x="74"/>
        <item x="73"/>
        <item x="24"/>
        <item x="39"/>
        <item x="90"/>
        <item x="117"/>
        <item x="30"/>
        <item x="0"/>
        <item x="12"/>
        <item x="37"/>
        <item x="35"/>
        <item x="4"/>
        <item x="93"/>
        <item x="38"/>
        <item x="15"/>
        <item x="119"/>
        <item x="53"/>
        <item x="45"/>
        <item x="68"/>
        <item x="57"/>
        <item x="51"/>
        <item x="41"/>
        <item x="33"/>
        <item x="43"/>
        <item x="13"/>
        <item x="69"/>
        <item x="118"/>
        <item x="96"/>
        <item x="21"/>
        <item x="55"/>
        <item x="34"/>
        <item x="5"/>
        <item x="54"/>
        <item x="152"/>
        <item x="144"/>
        <item x="167"/>
        <item x="154"/>
        <item x="161"/>
        <item x="148"/>
        <item x="160"/>
        <item x="162"/>
        <item x="138"/>
        <item x="151"/>
        <item x="131"/>
        <item x="163"/>
        <item x="143"/>
        <item x="158"/>
        <item x="125"/>
        <item x="150"/>
        <item x="130"/>
        <item x="126"/>
        <item x="129"/>
        <item x="145"/>
        <item x="127"/>
        <item x="147"/>
        <item x="137"/>
        <item x="135"/>
        <item x="146"/>
        <item x="142"/>
        <item x="165"/>
        <item x="141"/>
        <item x="133"/>
        <item x="140"/>
        <item x="134"/>
        <item x="156"/>
        <item x="159"/>
        <item x="153"/>
        <item x="155"/>
        <item x="139"/>
        <item x="166"/>
        <item x="164"/>
        <item x="128"/>
        <item x="136"/>
        <item x="149"/>
        <item x="132"/>
        <item x="157"/>
        <item t="default"/>
      </items>
    </pivotField>
    <pivotField showAll="0"/>
    <pivotField showAll="0"/>
    <pivotField showAll="0">
      <items count="5">
        <item x="1"/>
        <item x="2"/>
        <item x="0"/>
        <item x="3"/>
        <item t="default"/>
      </items>
    </pivotField>
    <pivotField showAll="0"/>
    <pivotField showAll="0"/>
    <pivotField showAll="0">
      <items count="5">
        <item x="2"/>
        <item x="3"/>
        <item x="0"/>
        <item x="1"/>
        <item t="default"/>
      </items>
    </pivotField>
    <pivotField showAll="0"/>
    <pivotField showAll="0"/>
    <pivotField dataField="1" showAll="0"/>
    <pivotField compact="0" showAll="0">
      <items count="5">
        <item x="2"/>
        <item x="0"/>
        <item x="3"/>
        <item x="1"/>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AA1CA8-655C-4A96-ABD4-36A37389493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D15:BE20" firstHeaderRow="1" firstDataRow="1" firstDataCol="1"/>
  <pivotFields count="13">
    <pivotField showAll="0"/>
    <pivotField showAll="0">
      <items count="169">
        <item x="123"/>
        <item x="109"/>
        <item x="79"/>
        <item x="22"/>
        <item x="42"/>
        <item x="98"/>
        <item x="47"/>
        <item x="106"/>
        <item x="44"/>
        <item x="1"/>
        <item x="113"/>
        <item x="46"/>
        <item x="89"/>
        <item x="87"/>
        <item x="32"/>
        <item x="49"/>
        <item x="60"/>
        <item x="85"/>
        <item x="120"/>
        <item x="102"/>
        <item x="112"/>
        <item x="27"/>
        <item x="94"/>
        <item x="114"/>
        <item x="65"/>
        <item x="84"/>
        <item x="81"/>
        <item x="9"/>
        <item x="70"/>
        <item x="6"/>
        <item x="52"/>
        <item x="26"/>
        <item x="82"/>
        <item x="110"/>
        <item x="115"/>
        <item x="14"/>
        <item x="124"/>
        <item x="99"/>
        <item x="105"/>
        <item x="31"/>
        <item x="76"/>
        <item x="86"/>
        <item x="83"/>
        <item x="20"/>
        <item x="97"/>
        <item x="116"/>
        <item x="28"/>
        <item x="92"/>
        <item x="23"/>
        <item x="107"/>
        <item x="78"/>
        <item x="101"/>
        <item x="19"/>
        <item x="80"/>
        <item x="77"/>
        <item x="62"/>
        <item x="71"/>
        <item x="18"/>
        <item x="122"/>
        <item x="72"/>
        <item x="10"/>
        <item x="2"/>
        <item x="3"/>
        <item x="40"/>
        <item x="66"/>
        <item x="104"/>
        <item x="59"/>
        <item x="11"/>
        <item x="61"/>
        <item x="48"/>
        <item x="95"/>
        <item x="29"/>
        <item x="7"/>
        <item x="108"/>
        <item x="103"/>
        <item x="25"/>
        <item x="50"/>
        <item x="58"/>
        <item x="8"/>
        <item x="16"/>
        <item x="64"/>
        <item x="63"/>
        <item x="88"/>
        <item x="67"/>
        <item x="36"/>
        <item x="56"/>
        <item x="91"/>
        <item x="17"/>
        <item x="75"/>
        <item x="121"/>
        <item x="100"/>
        <item x="111"/>
        <item x="74"/>
        <item x="73"/>
        <item x="24"/>
        <item x="39"/>
        <item x="90"/>
        <item x="117"/>
        <item x="30"/>
        <item x="0"/>
        <item x="12"/>
        <item x="37"/>
        <item x="35"/>
        <item x="4"/>
        <item x="93"/>
        <item x="38"/>
        <item x="15"/>
        <item x="119"/>
        <item x="53"/>
        <item x="45"/>
        <item x="68"/>
        <item x="57"/>
        <item x="51"/>
        <item x="41"/>
        <item x="33"/>
        <item x="43"/>
        <item x="13"/>
        <item x="69"/>
        <item x="118"/>
        <item x="96"/>
        <item x="21"/>
        <item x="55"/>
        <item x="34"/>
        <item x="5"/>
        <item x="54"/>
        <item x="152"/>
        <item x="144"/>
        <item x="167"/>
        <item x="154"/>
        <item x="161"/>
        <item x="148"/>
        <item x="160"/>
        <item x="162"/>
        <item x="138"/>
        <item x="151"/>
        <item x="131"/>
        <item x="163"/>
        <item x="143"/>
        <item x="158"/>
        <item x="125"/>
        <item x="150"/>
        <item x="130"/>
        <item x="126"/>
        <item x="129"/>
        <item x="145"/>
        <item x="127"/>
        <item x="147"/>
        <item x="137"/>
        <item x="135"/>
        <item x="146"/>
        <item x="142"/>
        <item x="165"/>
        <item x="141"/>
        <item x="133"/>
        <item x="140"/>
        <item x="134"/>
        <item x="156"/>
        <item x="159"/>
        <item x="153"/>
        <item x="155"/>
        <item x="139"/>
        <item x="166"/>
        <item x="164"/>
        <item x="128"/>
        <item x="136"/>
        <item x="149"/>
        <item x="132"/>
        <item x="157"/>
        <item t="default"/>
      </items>
    </pivotField>
    <pivotField showAll="0"/>
    <pivotField showAll="0"/>
    <pivotField showAll="0"/>
    <pivotField showAll="0"/>
    <pivotField showAll="0"/>
    <pivotField showAll="0">
      <items count="5">
        <item x="2"/>
        <item x="3"/>
        <item x="0"/>
        <item x="1"/>
        <item t="default"/>
      </items>
    </pivotField>
    <pivotField showAll="0"/>
    <pivotField showAll="0"/>
    <pivotField dataField="1" showAll="0"/>
    <pivotField axis="axisRow" compact="0" showAll="0">
      <items count="5">
        <item x="2"/>
        <item x="0"/>
        <item x="3"/>
        <item x="1"/>
        <item t="default"/>
      </items>
    </pivotField>
    <pivotField showAll="0">
      <items count="15">
        <item x="0"/>
        <item x="1"/>
        <item x="2"/>
        <item x="3"/>
        <item x="4"/>
        <item x="5"/>
        <item x="6"/>
        <item x="7"/>
        <item x="8"/>
        <item x="9"/>
        <item x="10"/>
        <item x="11"/>
        <item x="12"/>
        <item x="13"/>
        <item t="default"/>
      </items>
    </pivotField>
  </pivotFields>
  <rowFields count="1">
    <field x="11"/>
  </rowFields>
  <rowItems count="5">
    <i>
      <x/>
    </i>
    <i>
      <x v="1"/>
    </i>
    <i>
      <x v="2"/>
    </i>
    <i>
      <x v="3"/>
    </i>
    <i t="grand">
      <x/>
    </i>
  </rowItems>
  <colItems count="1">
    <i/>
  </colItems>
  <dataFields count="1">
    <dataField name="Sum of TotalAmount" fld="10" baseField="0" baseItem="0"/>
  </dataFields>
  <chartFormats count="2">
    <chartFormat chart="0"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552F9C-9B7F-42DF-BE0E-A545D8EA002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D36:BD37" firstHeaderRow="1" firstDataRow="1" firstDataCol="0"/>
  <pivotFields count="13">
    <pivotField dataField="1" showAll="0"/>
    <pivotField showAll="0">
      <items count="169">
        <item x="123"/>
        <item x="109"/>
        <item x="79"/>
        <item x="22"/>
        <item x="42"/>
        <item x="98"/>
        <item x="47"/>
        <item x="106"/>
        <item x="44"/>
        <item x="1"/>
        <item x="113"/>
        <item x="46"/>
        <item x="89"/>
        <item x="87"/>
        <item x="32"/>
        <item x="49"/>
        <item x="60"/>
        <item x="85"/>
        <item x="120"/>
        <item x="102"/>
        <item x="112"/>
        <item x="27"/>
        <item x="94"/>
        <item x="114"/>
        <item x="65"/>
        <item x="84"/>
        <item x="81"/>
        <item x="9"/>
        <item x="70"/>
        <item x="6"/>
        <item x="52"/>
        <item x="26"/>
        <item x="82"/>
        <item x="110"/>
        <item x="115"/>
        <item x="14"/>
        <item x="124"/>
        <item x="99"/>
        <item x="105"/>
        <item x="31"/>
        <item x="76"/>
        <item x="86"/>
        <item x="83"/>
        <item x="20"/>
        <item x="97"/>
        <item x="116"/>
        <item x="28"/>
        <item x="92"/>
        <item x="23"/>
        <item x="107"/>
        <item x="78"/>
        <item x="101"/>
        <item x="19"/>
        <item x="80"/>
        <item x="77"/>
        <item x="62"/>
        <item x="71"/>
        <item x="18"/>
        <item x="122"/>
        <item x="72"/>
        <item x="10"/>
        <item x="2"/>
        <item x="3"/>
        <item x="40"/>
        <item x="66"/>
        <item x="104"/>
        <item x="59"/>
        <item x="11"/>
        <item x="61"/>
        <item x="48"/>
        <item x="95"/>
        <item x="29"/>
        <item x="7"/>
        <item x="108"/>
        <item x="103"/>
        <item x="25"/>
        <item x="50"/>
        <item x="58"/>
        <item x="8"/>
        <item x="16"/>
        <item x="64"/>
        <item x="63"/>
        <item x="88"/>
        <item x="67"/>
        <item x="36"/>
        <item x="56"/>
        <item x="91"/>
        <item x="17"/>
        <item x="75"/>
        <item x="121"/>
        <item x="100"/>
        <item x="111"/>
        <item x="74"/>
        <item x="73"/>
        <item x="24"/>
        <item x="39"/>
        <item x="90"/>
        <item x="117"/>
        <item x="30"/>
        <item x="0"/>
        <item x="12"/>
        <item x="37"/>
        <item x="35"/>
        <item x="4"/>
        <item x="93"/>
        <item x="38"/>
        <item x="15"/>
        <item x="119"/>
        <item x="53"/>
        <item x="45"/>
        <item x="68"/>
        <item x="57"/>
        <item x="51"/>
        <item x="41"/>
        <item x="33"/>
        <item x="43"/>
        <item x="13"/>
        <item x="69"/>
        <item x="118"/>
        <item x="96"/>
        <item x="21"/>
        <item x="55"/>
        <item x="34"/>
        <item x="5"/>
        <item x="54"/>
        <item x="152"/>
        <item x="144"/>
        <item x="167"/>
        <item x="154"/>
        <item x="161"/>
        <item x="148"/>
        <item x="160"/>
        <item x="162"/>
        <item x="138"/>
        <item x="151"/>
        <item x="131"/>
        <item x="163"/>
        <item x="143"/>
        <item x="158"/>
        <item x="125"/>
        <item x="150"/>
        <item x="130"/>
        <item x="126"/>
        <item x="129"/>
        <item x="145"/>
        <item x="127"/>
        <item x="147"/>
        <item x="137"/>
        <item x="135"/>
        <item x="146"/>
        <item x="142"/>
        <item x="165"/>
        <item x="141"/>
        <item x="133"/>
        <item x="140"/>
        <item x="134"/>
        <item x="156"/>
        <item x="159"/>
        <item x="153"/>
        <item x="155"/>
        <item x="139"/>
        <item x="166"/>
        <item x="164"/>
        <item x="128"/>
        <item x="136"/>
        <item x="149"/>
        <item x="132"/>
        <item x="157"/>
        <item t="default"/>
      </items>
    </pivotField>
    <pivotField showAll="0"/>
    <pivotField showAll="0"/>
    <pivotField showAll="0">
      <items count="5">
        <item x="1"/>
        <item x="2"/>
        <item x="0"/>
        <item x="3"/>
        <item t="default"/>
      </items>
    </pivotField>
    <pivotField showAll="0"/>
    <pivotField showAll="0"/>
    <pivotField showAll="0">
      <items count="5">
        <item x="2"/>
        <item x="3"/>
        <item x="0"/>
        <item x="1"/>
        <item t="default"/>
      </items>
    </pivotField>
    <pivotField showAll="0"/>
    <pivotField showAll="0"/>
    <pivotField showAll="0"/>
    <pivotField compact="0" showAll="0">
      <items count="5">
        <item x="2"/>
        <item x="0"/>
        <item x="3"/>
        <item x="1"/>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F82DBF7-CE74-42CE-9272-28ED67706A4B}" name="PivotTable2"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5">
  <location ref="BD42:BE47" firstHeaderRow="1" firstDataRow="1" firstDataCol="1"/>
  <pivotFields count="13">
    <pivotField showAll="0"/>
    <pivotField showAll="0">
      <items count="169">
        <item x="123"/>
        <item x="109"/>
        <item x="79"/>
        <item x="22"/>
        <item x="42"/>
        <item x="98"/>
        <item x="47"/>
        <item x="106"/>
        <item x="44"/>
        <item x="1"/>
        <item x="113"/>
        <item x="46"/>
        <item x="89"/>
        <item x="87"/>
        <item x="32"/>
        <item x="49"/>
        <item x="60"/>
        <item x="85"/>
        <item x="120"/>
        <item x="102"/>
        <item x="112"/>
        <item x="27"/>
        <item x="94"/>
        <item x="114"/>
        <item x="65"/>
        <item x="84"/>
        <item x="81"/>
        <item x="9"/>
        <item x="70"/>
        <item x="6"/>
        <item x="52"/>
        <item x="26"/>
        <item x="82"/>
        <item x="110"/>
        <item x="115"/>
        <item x="14"/>
        <item x="124"/>
        <item x="99"/>
        <item x="105"/>
        <item x="31"/>
        <item x="76"/>
        <item x="86"/>
        <item x="83"/>
        <item x="20"/>
        <item x="97"/>
        <item x="116"/>
        <item x="28"/>
        <item x="92"/>
        <item x="23"/>
        <item x="107"/>
        <item x="78"/>
        <item x="101"/>
        <item x="19"/>
        <item x="80"/>
        <item x="77"/>
        <item x="62"/>
        <item x="71"/>
        <item x="18"/>
        <item x="122"/>
        <item x="72"/>
        <item x="10"/>
        <item x="2"/>
        <item x="3"/>
        <item x="40"/>
        <item x="66"/>
        <item x="104"/>
        <item x="59"/>
        <item x="11"/>
        <item x="61"/>
        <item x="48"/>
        <item x="95"/>
        <item x="29"/>
        <item x="7"/>
        <item x="108"/>
        <item x="103"/>
        <item x="25"/>
        <item x="50"/>
        <item x="58"/>
        <item x="8"/>
        <item x="16"/>
        <item x="64"/>
        <item x="63"/>
        <item x="88"/>
        <item x="67"/>
        <item x="36"/>
        <item x="56"/>
        <item x="91"/>
        <item x="17"/>
        <item x="75"/>
        <item x="121"/>
        <item x="100"/>
        <item x="111"/>
        <item x="74"/>
        <item x="73"/>
        <item x="24"/>
        <item x="39"/>
        <item x="90"/>
        <item x="117"/>
        <item x="30"/>
        <item x="0"/>
        <item x="12"/>
        <item x="37"/>
        <item x="35"/>
        <item x="4"/>
        <item x="93"/>
        <item x="38"/>
        <item x="15"/>
        <item x="119"/>
        <item x="53"/>
        <item x="45"/>
        <item x="68"/>
        <item x="57"/>
        <item x="51"/>
        <item x="41"/>
        <item x="33"/>
        <item x="43"/>
        <item x="13"/>
        <item x="69"/>
        <item x="118"/>
        <item x="96"/>
        <item x="21"/>
        <item x="55"/>
        <item x="34"/>
        <item x="5"/>
        <item x="54"/>
        <item x="152"/>
        <item x="144"/>
        <item x="167"/>
        <item x="154"/>
        <item x="161"/>
        <item x="148"/>
        <item x="160"/>
        <item x="162"/>
        <item x="138"/>
        <item x="151"/>
        <item x="131"/>
        <item x="163"/>
        <item x="143"/>
        <item x="158"/>
        <item x="125"/>
        <item x="150"/>
        <item x="130"/>
        <item x="126"/>
        <item x="129"/>
        <item x="145"/>
        <item x="127"/>
        <item x="147"/>
        <item x="137"/>
        <item x="135"/>
        <item x="146"/>
        <item x="142"/>
        <item x="165"/>
        <item x="141"/>
        <item x="133"/>
        <item x="140"/>
        <item x="134"/>
        <item x="156"/>
        <item x="159"/>
        <item x="153"/>
        <item x="155"/>
        <item x="139"/>
        <item x="166"/>
        <item x="164"/>
        <item x="128"/>
        <item x="136"/>
        <item x="149"/>
        <item x="132"/>
        <item x="157"/>
        <item t="default"/>
      </items>
    </pivotField>
    <pivotField showAll="0"/>
    <pivotField showAll="0"/>
    <pivotField axis="axisRow" showAll="0">
      <items count="5">
        <item x="1"/>
        <item x="2"/>
        <item x="0"/>
        <item x="3"/>
        <item t="default"/>
      </items>
    </pivotField>
    <pivotField showAll="0"/>
    <pivotField showAll="0"/>
    <pivotField showAll="0">
      <items count="5">
        <item x="2"/>
        <item x="3"/>
        <item x="0"/>
        <item x="1"/>
        <item t="default"/>
      </items>
    </pivotField>
    <pivotField showAll="0"/>
    <pivotField showAll="0"/>
    <pivotField dataField="1" showAll="0"/>
    <pivotField compact="0" showAll="0">
      <items count="5">
        <item x="2"/>
        <item x="0"/>
        <item x="3"/>
        <item x="1"/>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TotalAmount" fld="10" baseField="0" baseItem="0"/>
  </dataFields>
  <chartFormats count="2">
    <chartFormat chart="18"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3CE466-507C-4136-A3FC-F3CA242F8CA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D8:BE13" firstHeaderRow="1" firstDataRow="1" firstDataCol="1"/>
  <pivotFields count="13">
    <pivotField showAll="0"/>
    <pivotField showAll="0">
      <items count="169">
        <item x="123"/>
        <item x="109"/>
        <item x="79"/>
        <item x="22"/>
        <item x="42"/>
        <item x="98"/>
        <item x="47"/>
        <item x="106"/>
        <item x="44"/>
        <item x="1"/>
        <item x="113"/>
        <item x="46"/>
        <item x="89"/>
        <item x="87"/>
        <item x="32"/>
        <item x="49"/>
        <item x="60"/>
        <item x="85"/>
        <item x="120"/>
        <item x="102"/>
        <item x="112"/>
        <item x="27"/>
        <item x="94"/>
        <item x="114"/>
        <item x="65"/>
        <item x="84"/>
        <item x="81"/>
        <item x="9"/>
        <item x="70"/>
        <item x="6"/>
        <item x="52"/>
        <item x="26"/>
        <item x="82"/>
        <item x="110"/>
        <item x="115"/>
        <item x="14"/>
        <item x="124"/>
        <item x="99"/>
        <item x="105"/>
        <item x="31"/>
        <item x="76"/>
        <item x="86"/>
        <item x="83"/>
        <item x="20"/>
        <item x="97"/>
        <item x="116"/>
        <item x="28"/>
        <item x="92"/>
        <item x="23"/>
        <item x="107"/>
        <item x="78"/>
        <item x="101"/>
        <item x="19"/>
        <item x="80"/>
        <item x="77"/>
        <item x="62"/>
        <item x="71"/>
        <item x="18"/>
        <item x="122"/>
        <item x="72"/>
        <item x="10"/>
        <item x="2"/>
        <item x="3"/>
        <item x="40"/>
        <item x="66"/>
        <item x="104"/>
        <item x="59"/>
        <item x="11"/>
        <item x="61"/>
        <item x="48"/>
        <item x="95"/>
        <item x="29"/>
        <item x="7"/>
        <item x="108"/>
        <item x="103"/>
        <item x="25"/>
        <item x="50"/>
        <item x="58"/>
        <item x="8"/>
        <item x="16"/>
        <item x="64"/>
        <item x="63"/>
        <item x="88"/>
        <item x="67"/>
        <item x="36"/>
        <item x="56"/>
        <item x="91"/>
        <item x="17"/>
        <item x="75"/>
        <item x="121"/>
        <item x="100"/>
        <item x="111"/>
        <item x="74"/>
        <item x="73"/>
        <item x="24"/>
        <item x="39"/>
        <item x="90"/>
        <item x="117"/>
        <item x="30"/>
        <item x="0"/>
        <item x="12"/>
        <item x="37"/>
        <item x="35"/>
        <item x="4"/>
        <item x="93"/>
        <item x="38"/>
        <item x="15"/>
        <item x="119"/>
        <item x="53"/>
        <item x="45"/>
        <item x="68"/>
        <item x="57"/>
        <item x="51"/>
        <item x="41"/>
        <item x="33"/>
        <item x="43"/>
        <item x="13"/>
        <item x="69"/>
        <item x="118"/>
        <item x="96"/>
        <item x="21"/>
        <item x="55"/>
        <item x="34"/>
        <item x="5"/>
        <item x="54"/>
        <item x="152"/>
        <item x="144"/>
        <item x="167"/>
        <item x="154"/>
        <item x="161"/>
        <item x="148"/>
        <item x="160"/>
        <item x="162"/>
        <item x="138"/>
        <item x="151"/>
        <item x="131"/>
        <item x="163"/>
        <item x="143"/>
        <item x="158"/>
        <item x="125"/>
        <item x="150"/>
        <item x="130"/>
        <item x="126"/>
        <item x="129"/>
        <item x="145"/>
        <item x="127"/>
        <item x="147"/>
        <item x="137"/>
        <item x="135"/>
        <item x="146"/>
        <item x="142"/>
        <item x="165"/>
        <item x="141"/>
        <item x="133"/>
        <item x="140"/>
        <item x="134"/>
        <item x="156"/>
        <item x="159"/>
        <item x="153"/>
        <item x="155"/>
        <item x="139"/>
        <item x="166"/>
        <item x="164"/>
        <item x="128"/>
        <item x="136"/>
        <item x="149"/>
        <item x="132"/>
        <item x="157"/>
        <item t="default"/>
      </items>
    </pivotField>
    <pivotField showAll="0"/>
    <pivotField showAll="0"/>
    <pivotField showAll="0">
      <items count="5">
        <item x="1"/>
        <item x="2"/>
        <item x="0"/>
        <item x="3"/>
        <item t="default"/>
      </items>
    </pivotField>
    <pivotField showAll="0"/>
    <pivotField showAll="0"/>
    <pivotField axis="axisRow" showAll="0">
      <items count="5">
        <item x="2"/>
        <item x="3"/>
        <item x="0"/>
        <item x="1"/>
        <item t="default"/>
      </items>
    </pivotField>
    <pivotField showAll="0"/>
    <pivotField showAll="0"/>
    <pivotField dataField="1" showAll="0"/>
    <pivotField showAll="0">
      <items count="5">
        <item x="2"/>
        <item x="0"/>
        <item x="3"/>
        <item x="1"/>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t="grand">
      <x/>
    </i>
  </rowItems>
  <colItems count="1">
    <i/>
  </colItems>
  <dataFields count="1">
    <dataField name="Sum of TotalAmount" fld="10"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1"/>
          </reference>
        </references>
      </pivotArea>
    </chartFormat>
    <chartFormat chart="2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449C2F7-A267-48FF-AF15-E213A7DED2C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BD22:BE27" firstHeaderRow="1" firstDataRow="1" firstDataCol="1"/>
  <pivotFields count="13">
    <pivotField showAll="0"/>
    <pivotField showAll="0">
      <items count="169">
        <item x="123"/>
        <item x="109"/>
        <item x="79"/>
        <item x="22"/>
        <item x="42"/>
        <item x="98"/>
        <item x="47"/>
        <item x="106"/>
        <item x="44"/>
        <item x="1"/>
        <item x="113"/>
        <item x="46"/>
        <item x="89"/>
        <item x="87"/>
        <item x="32"/>
        <item x="49"/>
        <item x="60"/>
        <item x="85"/>
        <item x="120"/>
        <item x="102"/>
        <item x="112"/>
        <item x="27"/>
        <item x="94"/>
        <item x="114"/>
        <item x="65"/>
        <item x="84"/>
        <item x="81"/>
        <item x="9"/>
        <item x="70"/>
        <item x="6"/>
        <item x="52"/>
        <item x="26"/>
        <item x="82"/>
        <item x="110"/>
        <item x="115"/>
        <item x="14"/>
        <item x="124"/>
        <item x="99"/>
        <item x="105"/>
        <item x="31"/>
        <item x="76"/>
        <item x="86"/>
        <item x="83"/>
        <item x="20"/>
        <item x="97"/>
        <item x="116"/>
        <item x="28"/>
        <item x="92"/>
        <item x="23"/>
        <item x="107"/>
        <item x="78"/>
        <item x="101"/>
        <item x="19"/>
        <item x="80"/>
        <item x="77"/>
        <item x="62"/>
        <item x="71"/>
        <item x="18"/>
        <item x="122"/>
        <item x="72"/>
        <item x="10"/>
        <item x="2"/>
        <item x="3"/>
        <item x="40"/>
        <item x="66"/>
        <item x="104"/>
        <item x="59"/>
        <item x="11"/>
        <item x="61"/>
        <item x="48"/>
        <item x="95"/>
        <item x="29"/>
        <item x="7"/>
        <item x="108"/>
        <item x="103"/>
        <item x="25"/>
        <item x="50"/>
        <item x="58"/>
        <item x="8"/>
        <item x="16"/>
        <item x="64"/>
        <item x="63"/>
        <item x="88"/>
        <item x="67"/>
        <item x="36"/>
        <item x="56"/>
        <item x="91"/>
        <item x="17"/>
        <item x="75"/>
        <item x="121"/>
        <item x="100"/>
        <item x="111"/>
        <item x="74"/>
        <item x="73"/>
        <item x="24"/>
        <item x="39"/>
        <item x="90"/>
        <item x="117"/>
        <item x="30"/>
        <item x="0"/>
        <item x="12"/>
        <item x="37"/>
        <item x="35"/>
        <item x="4"/>
        <item x="93"/>
        <item x="38"/>
        <item x="15"/>
        <item x="119"/>
        <item x="53"/>
        <item x="45"/>
        <item x="68"/>
        <item x="57"/>
        <item x="51"/>
        <item x="41"/>
        <item x="33"/>
        <item x="43"/>
        <item x="13"/>
        <item x="69"/>
        <item x="118"/>
        <item x="96"/>
        <item x="21"/>
        <item x="55"/>
        <item x="34"/>
        <item x="5"/>
        <item x="54"/>
        <item x="152"/>
        <item x="144"/>
        <item x="167"/>
        <item x="154"/>
        <item x="161"/>
        <item x="148"/>
        <item x="160"/>
        <item x="162"/>
        <item x="138"/>
        <item x="151"/>
        <item x="131"/>
        <item x="163"/>
        <item x="143"/>
        <item x="158"/>
        <item x="125"/>
        <item x="150"/>
        <item x="130"/>
        <item x="126"/>
        <item x="129"/>
        <item x="145"/>
        <item x="127"/>
        <item x="147"/>
        <item x="137"/>
        <item x="135"/>
        <item x="146"/>
        <item x="142"/>
        <item x="165"/>
        <item x="141"/>
        <item x="133"/>
        <item x="140"/>
        <item x="134"/>
        <item x="156"/>
        <item x="159"/>
        <item x="153"/>
        <item x="155"/>
        <item x="139"/>
        <item x="166"/>
        <item x="164"/>
        <item x="128"/>
        <item x="136"/>
        <item x="149"/>
        <item x="132"/>
        <item x="157"/>
        <item t="default"/>
      </items>
    </pivotField>
    <pivotField showAll="0"/>
    <pivotField showAll="0"/>
    <pivotField showAll="0">
      <items count="5">
        <item x="1"/>
        <item x="2"/>
        <item x="0"/>
        <item x="3"/>
        <item t="default"/>
      </items>
    </pivotField>
    <pivotField showAll="0"/>
    <pivotField showAll="0"/>
    <pivotField showAll="0">
      <items count="5">
        <item x="2"/>
        <item x="3"/>
        <item x="0"/>
        <item x="1"/>
        <item t="default"/>
      </items>
    </pivotField>
    <pivotField showAll="0"/>
    <pivotField showAll="0"/>
    <pivotField showAll="0"/>
    <pivotField axis="axisRow" dataField="1" compact="0" showAll="0">
      <items count="5">
        <item x="2"/>
        <item x="0"/>
        <item x="3"/>
        <item x="1"/>
        <item t="default"/>
      </items>
    </pivotField>
    <pivotField showAll="0">
      <items count="15">
        <item x="0"/>
        <item x="1"/>
        <item x="2"/>
        <item x="3"/>
        <item x="4"/>
        <item x="5"/>
        <item x="6"/>
        <item x="7"/>
        <item x="8"/>
        <item x="9"/>
        <item x="10"/>
        <item x="11"/>
        <item x="12"/>
        <item x="13"/>
        <item t="default"/>
      </items>
    </pivotField>
  </pivotFields>
  <rowFields count="1">
    <field x="11"/>
  </rowFields>
  <rowItems count="5">
    <i>
      <x/>
    </i>
    <i>
      <x v="1"/>
    </i>
    <i>
      <x v="2"/>
    </i>
    <i>
      <x v="3"/>
    </i>
    <i t="grand">
      <x/>
    </i>
  </rowItems>
  <colItems count="1">
    <i/>
  </colItems>
  <dataFields count="1">
    <dataField name="Count of PaymentMethod" fld="11" subtotal="count" baseField="0" baseItem="0"/>
  </dataFields>
  <chartFormats count="4">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11" count="1" selected="0">
            <x v="0"/>
          </reference>
        </references>
      </pivotArea>
    </chartFormat>
    <chartFormat chart="19" format="3"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D44CF61-23C4-4C77-8B2C-7770D263E41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D29:BE34" firstHeaderRow="1" firstDataRow="1" firstDataCol="1"/>
  <pivotFields count="13">
    <pivotField showAll="0"/>
    <pivotField showAll="0">
      <items count="169">
        <item x="123"/>
        <item x="109"/>
        <item x="79"/>
        <item x="22"/>
        <item x="42"/>
        <item x="98"/>
        <item x="47"/>
        <item x="106"/>
        <item x="44"/>
        <item x="1"/>
        <item x="113"/>
        <item x="46"/>
        <item x="89"/>
        <item x="87"/>
        <item x="32"/>
        <item x="49"/>
        <item x="60"/>
        <item x="85"/>
        <item x="120"/>
        <item x="102"/>
        <item x="112"/>
        <item x="27"/>
        <item x="94"/>
        <item x="114"/>
        <item x="65"/>
        <item x="84"/>
        <item x="81"/>
        <item x="9"/>
        <item x="70"/>
        <item x="6"/>
        <item x="52"/>
        <item x="26"/>
        <item x="82"/>
        <item x="110"/>
        <item x="115"/>
        <item x="14"/>
        <item x="124"/>
        <item x="99"/>
        <item x="105"/>
        <item x="31"/>
        <item x="76"/>
        <item x="86"/>
        <item x="83"/>
        <item x="20"/>
        <item x="97"/>
        <item x="116"/>
        <item x="28"/>
        <item x="92"/>
        <item x="23"/>
        <item x="107"/>
        <item x="78"/>
        <item x="101"/>
        <item x="19"/>
        <item x="80"/>
        <item x="77"/>
        <item x="62"/>
        <item x="71"/>
        <item x="18"/>
        <item x="122"/>
        <item x="72"/>
        <item x="10"/>
        <item x="2"/>
        <item x="3"/>
        <item x="40"/>
        <item x="66"/>
        <item x="104"/>
        <item x="59"/>
        <item x="11"/>
        <item x="61"/>
        <item x="48"/>
        <item x="95"/>
        <item x="29"/>
        <item x="7"/>
        <item x="108"/>
        <item x="103"/>
        <item x="25"/>
        <item x="50"/>
        <item x="58"/>
        <item x="8"/>
        <item x="16"/>
        <item x="64"/>
        <item x="63"/>
        <item x="88"/>
        <item x="67"/>
        <item x="36"/>
        <item x="56"/>
        <item x="91"/>
        <item x="17"/>
        <item x="75"/>
        <item x="121"/>
        <item x="100"/>
        <item x="111"/>
        <item x="74"/>
        <item x="73"/>
        <item x="24"/>
        <item x="39"/>
        <item x="90"/>
        <item x="117"/>
        <item x="30"/>
        <item x="0"/>
        <item x="12"/>
        <item x="37"/>
        <item x="35"/>
        <item x="4"/>
        <item x="93"/>
        <item x="38"/>
        <item x="15"/>
        <item x="119"/>
        <item x="53"/>
        <item x="45"/>
        <item x="68"/>
        <item x="57"/>
        <item x="51"/>
        <item x="41"/>
        <item x="33"/>
        <item x="43"/>
        <item x="13"/>
        <item x="69"/>
        <item x="118"/>
        <item x="96"/>
        <item x="21"/>
        <item x="55"/>
        <item x="34"/>
        <item x="5"/>
        <item x="54"/>
        <item x="152"/>
        <item x="144"/>
        <item x="167"/>
        <item x="154"/>
        <item x="161"/>
        <item x="148"/>
        <item x="160"/>
        <item x="162"/>
        <item x="138"/>
        <item x="151"/>
        <item x="131"/>
        <item x="163"/>
        <item x="143"/>
        <item x="158"/>
        <item x="125"/>
        <item x="150"/>
        <item x="130"/>
        <item x="126"/>
        <item x="129"/>
        <item x="145"/>
        <item x="127"/>
        <item x="147"/>
        <item x="137"/>
        <item x="135"/>
        <item x="146"/>
        <item x="142"/>
        <item x="165"/>
        <item x="141"/>
        <item x="133"/>
        <item x="140"/>
        <item x="134"/>
        <item x="156"/>
        <item x="159"/>
        <item x="153"/>
        <item x="155"/>
        <item x="139"/>
        <item x="166"/>
        <item x="164"/>
        <item x="128"/>
        <item x="136"/>
        <item x="149"/>
        <item x="132"/>
        <item x="157"/>
        <item t="default"/>
      </items>
    </pivotField>
    <pivotField showAll="0"/>
    <pivotField showAll="0"/>
    <pivotField showAll="0">
      <items count="5">
        <item x="1"/>
        <item x="2"/>
        <item x="0"/>
        <item x="3"/>
        <item t="default"/>
      </items>
    </pivotField>
    <pivotField showAll="0"/>
    <pivotField showAll="0"/>
    <pivotField axis="axisRow" showAll="0">
      <items count="5">
        <item x="2"/>
        <item x="3"/>
        <item x="0"/>
        <item x="1"/>
        <item t="default"/>
      </items>
    </pivotField>
    <pivotField dataField="1" showAll="0"/>
    <pivotField showAll="0"/>
    <pivotField showAll="0"/>
    <pivotField compact="0" showAll="0">
      <items count="5">
        <item x="2"/>
        <item x="0"/>
        <item x="3"/>
        <item x="1"/>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t="grand">
      <x/>
    </i>
  </rowItems>
  <colItems count="1">
    <i/>
  </colItems>
  <dataFields count="1">
    <dataField name="Sum of Quantity" fld="8" baseField="0" baseItem="0"/>
  </dataFields>
  <chartFormats count="15">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7" count="1" selected="0">
            <x v="0"/>
          </reference>
        </references>
      </pivotArea>
    </chartFormat>
    <chartFormat chart="14" format="2">
      <pivotArea type="data" outline="0" fieldPosition="0">
        <references count="2">
          <reference field="4294967294" count="1" selected="0">
            <x v="0"/>
          </reference>
          <reference field="7" count="1" selected="0">
            <x v="1"/>
          </reference>
        </references>
      </pivotArea>
    </chartFormat>
    <chartFormat chart="14" format="3">
      <pivotArea type="data" outline="0" fieldPosition="0">
        <references count="2">
          <reference field="4294967294" count="1" selected="0">
            <x v="0"/>
          </reference>
          <reference field="7" count="1" selected="0">
            <x v="2"/>
          </reference>
        </references>
      </pivotArea>
    </chartFormat>
    <chartFormat chart="14" format="4">
      <pivotArea type="data" outline="0" fieldPosition="0">
        <references count="2">
          <reference field="4294967294" count="1" selected="0">
            <x v="0"/>
          </reference>
          <reference field="7" count="1" selected="0">
            <x v="3"/>
          </reference>
        </references>
      </pivotArea>
    </chartFormat>
    <chartFormat chart="18" format="5" series="1">
      <pivotArea type="data" outline="0" fieldPosition="0">
        <references count="1">
          <reference field="4294967294" count="1" selected="0">
            <x v="0"/>
          </reference>
        </references>
      </pivotArea>
    </chartFormat>
    <chartFormat chart="18" format="6">
      <pivotArea type="data" outline="0" fieldPosition="0">
        <references count="2">
          <reference field="4294967294" count="1" selected="0">
            <x v="0"/>
          </reference>
          <reference field="7" count="1" selected="0">
            <x v="0"/>
          </reference>
        </references>
      </pivotArea>
    </chartFormat>
    <chartFormat chart="18" format="7">
      <pivotArea type="data" outline="0" fieldPosition="0">
        <references count="2">
          <reference field="4294967294" count="1" selected="0">
            <x v="0"/>
          </reference>
          <reference field="7" count="1" selected="0">
            <x v="1"/>
          </reference>
        </references>
      </pivotArea>
    </chartFormat>
    <chartFormat chart="18" format="8">
      <pivotArea type="data" outline="0" fieldPosition="0">
        <references count="2">
          <reference field="4294967294" count="1" selected="0">
            <x v="0"/>
          </reference>
          <reference field="7" count="1" selected="0">
            <x v="2"/>
          </reference>
        </references>
      </pivotArea>
    </chartFormat>
    <chartFormat chart="18" format="9">
      <pivotArea type="data" outline="0" fieldPosition="0">
        <references count="2">
          <reference field="4294967294" count="1" selected="0">
            <x v="0"/>
          </reference>
          <reference field="7" count="1" selected="0">
            <x v="3"/>
          </reference>
        </references>
      </pivotArea>
    </chartFormat>
    <chartFormat chart="19" format="10" series="1">
      <pivotArea type="data" outline="0" fieldPosition="0">
        <references count="1">
          <reference field="4294967294" count="1" selected="0">
            <x v="0"/>
          </reference>
        </references>
      </pivotArea>
    </chartFormat>
    <chartFormat chart="19" format="11">
      <pivotArea type="data" outline="0" fieldPosition="0">
        <references count="2">
          <reference field="4294967294" count="1" selected="0">
            <x v="0"/>
          </reference>
          <reference field="7" count="1" selected="0">
            <x v="0"/>
          </reference>
        </references>
      </pivotArea>
    </chartFormat>
    <chartFormat chart="19" format="12">
      <pivotArea type="data" outline="0" fieldPosition="0">
        <references count="2">
          <reference field="4294967294" count="1" selected="0">
            <x v="0"/>
          </reference>
          <reference field="7" count="1" selected="0">
            <x v="1"/>
          </reference>
        </references>
      </pivotArea>
    </chartFormat>
    <chartFormat chart="19" format="13">
      <pivotArea type="data" outline="0" fieldPosition="0">
        <references count="2">
          <reference field="4294967294" count="1" selected="0">
            <x v="0"/>
          </reference>
          <reference field="7" count="1" selected="0">
            <x v="2"/>
          </reference>
        </references>
      </pivotArea>
    </chartFormat>
    <chartFormat chart="19" format="1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FC42B68-50FA-4ABF-85F3-4E8B069A74D6}" sourceName="Region">
  <pivotTables>
    <pivotTable tabId="2" name="PivotTable2"/>
    <pivotTable tabId="2" name="PivotTable1"/>
    <pivotTable tabId="2" name="PivotTable3"/>
    <pivotTable tabId="2" name="PivotTable5"/>
    <pivotTable tabId="2" name="PivotTable6"/>
    <pivotTable tabId="2" name="PivotTable7"/>
    <pivotTable tabId="2" name="PivotTable8"/>
    <pivotTable tabId="2" name="PivotTable9"/>
    <pivotTable tabId="2" name="PivotTable10"/>
  </pivotTables>
  <data>
    <tabular pivotCacheId="1682537390">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AA067C5-5AD7-4055-BCD0-8A3605F12124}" sourceName="Category">
  <pivotTables>
    <pivotTable tabId="2" name="PivotTable6"/>
    <pivotTable tabId="2" name="PivotTable1"/>
    <pivotTable tabId="2" name="PivotTable2"/>
    <pivotTable tabId="2" name="PivotTable3"/>
    <pivotTable tabId="2" name="PivotTable4"/>
    <pivotTable tabId="2" name="PivotTable5"/>
    <pivotTable tabId="2" name="PivotTable7"/>
    <pivotTable tabId="2" name="PivotTable8"/>
    <pivotTable tabId="2" name="PivotTable9"/>
    <pivotTable tabId="2" name="PivotTable10"/>
  </pivotTables>
  <data>
    <tabular pivotCacheId="1682537390">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692455F3-9538-40C0-8FE8-E29515120709}" sourceName="PaymentMethod">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 tabId="2" name="PivotTable9"/>
    <pivotTable tabId="2" name="PivotTable10"/>
  </pivotTables>
  <data>
    <tabular pivotCacheId="1682537390">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E682DA8-5D12-410B-A5FB-2C8E84AE9479}" cache="Slicer_Region" caption="Region" columnCount="4" style="SlicerStyleDark1" rowHeight="247650"/>
  <slicer name="Category" xr10:uid="{FE899257-B878-4F61-B9A5-7F4E73748B94}" cache="Slicer_Category" caption="Category" columnCount="4" style="SlicerStyleDark1" rowHeight="247650"/>
  <slicer name="PaymentMethod" xr10:uid="{4A967671-1866-4559-8BAF-A353EB40BF48}" cache="Slicer_PaymentMethod" caption="PaymentMethod" columnCount="4" style="SlicerStyleDark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8743857-B497-4DC7-9C43-6EDC095FA2EF}" cache="Slicer_Region" caption="Region" columnCount="4" style="SlicerStyleDark1" rowHeight="247650"/>
  <slicer name="Category 1" xr10:uid="{8BB971D7-96BA-4B63-ABFC-F032FEE84772}" cache="Slicer_Category" caption="Category" columnCount="4" style="SlicerStyleDark1" rowHeight="247650"/>
  <slicer name="PaymentMethod 1" xr10:uid="{5E62FD2B-46CE-4E57-BE49-DD29EA95D485}" cache="Slicer_PaymentMethod" caption="PaymentMethod" columnCount="4"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BF1F19-58FE-4A9A-B357-F669A43ADAAE}" name="Table1" displayName="Table1" ref="A1:L247" totalsRowShown="0">
  <autoFilter ref="A1:L247" xr:uid="{B7BF1F19-58FE-4A9A-B357-F669A43ADAAE}"/>
  <sortState xmlns:xlrd2="http://schemas.microsoft.com/office/spreadsheetml/2017/richdata2" ref="A2:L247">
    <sortCondition ref="A1:A271"/>
  </sortState>
  <tableColumns count="12">
    <tableColumn id="1" xr3:uid="{9098514D-075E-4733-9320-389D8827E1A3}" name="OrderID"/>
    <tableColumn id="2" xr3:uid="{B71D5D61-5192-43D5-A43D-077C86B4D144}" name="OrderDate" dataDxfId="0"/>
    <tableColumn id="3" xr3:uid="{02207898-7109-42F9-AA0D-068BD5CA383E}" name="CustomerID"/>
    <tableColumn id="4" xr3:uid="{973B1B30-4F18-425C-8E0B-DD688ECB8DE5}" name="CustomerName"/>
    <tableColumn id="5" xr3:uid="{E80A0A75-1952-42D7-8AE4-472618DBEC99}" name="Region"/>
    <tableColumn id="6" xr3:uid="{AE367E69-2B99-424B-A4B3-3B9CA26B3E1B}" name="ProductID"/>
    <tableColumn id="7" xr3:uid="{F1CA8F2D-BF45-4E88-848A-9FD7E903270F}" name="ProductName"/>
    <tableColumn id="8" xr3:uid="{61C90B29-3931-4BF3-9C9C-25D865CA3DD2}" name="Category"/>
    <tableColumn id="9" xr3:uid="{368F3397-2056-477E-99ED-A69F8DC22345}" name="Quantity"/>
    <tableColumn id="10" xr3:uid="{E59D967B-1F56-4D79-B49E-40A613299E29}" name="Price"/>
    <tableColumn id="11" xr3:uid="{735BD549-5D61-4D67-A93B-54A94383658E}" name="TotalAmount"/>
    <tableColumn id="12" xr3:uid="{72AAFF46-CE4F-41EE-B6F3-D177EA48D01E}" name="PaymentMetho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 dockstate="right" visibility="0" width="438" row="7">
    <wetp:webextensionref xmlns:r="http://schemas.openxmlformats.org/officeDocument/2006/relationships" r:id="rId2"/>
  </wetp:taskpane>
</wetp:taskpanes>
</file>

<file path=xl/webextensions/webextension1.xml><?xml version="1.0" encoding="utf-8"?>
<we:webextension xmlns:we="http://schemas.microsoft.com/office/webextensions/webextension/2010/11" id="{2269E350-B155-43DD-B4C4-33574AA2E0BC}">
  <we:reference id="wa200005502" version="1.0.0.13" store="en-US" storeType="OMEX"/>
  <we:alternateReferences>
    <we:reference id="WA200005502" version="1.0.0.13" store="" storeType="OMEX"/>
  </we:alternateReferences>
  <we:properties>
    <we:property name="docId" value="&quot;BVIR8KYgoHDwOcswVxFX5&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ED022BCD-45D5-4C0D-A0C5-FE1890DF465D}">
  <we:reference id="wa200010215" version="2.0.0.1" store="en-GB" storeType="OMEX"/>
  <we:alternateReferences>
    <we:reference id="wa200010215" version="2.0.0.1" store="wa200010215" storeType="OMEX"/>
  </we:alternateReferences>
  <we:properties>
    <we:property name="bps.codex_control.document_id" value="&quot;3c93f8f0-3eeb-424a-abaf-e33bdb46a928&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1506D-F267-4226-8EC5-B92F825690F9}">
  <sheetPr>
    <pageSetUpPr fitToPage="1"/>
  </sheetPr>
  <dimension ref="F1:BE79"/>
  <sheetViews>
    <sheetView showGridLines="0" tabSelected="1" zoomScale="37" zoomScaleNormal="49" workbookViewId="0">
      <selection activeCell="BD42" sqref="BD42"/>
    </sheetView>
  </sheetViews>
  <sheetFormatPr defaultRowHeight="14.4" outlineLevelRow="1" x14ac:dyDescent="0.3"/>
  <cols>
    <col min="1" max="1" width="27.33203125" bestFit="1" customWidth="1"/>
    <col min="2" max="2" width="26.6640625" bestFit="1" customWidth="1"/>
    <col min="3" max="3" width="5.33203125" bestFit="1" customWidth="1"/>
    <col min="4" max="4" width="6.33203125" bestFit="1" customWidth="1"/>
    <col min="5" max="5" width="5.33203125" bestFit="1" customWidth="1"/>
    <col min="6" max="6" width="3.5546875" customWidth="1"/>
    <col min="7" max="7" width="11.21875" bestFit="1" customWidth="1"/>
    <col min="8" max="9" width="6.33203125" bestFit="1" customWidth="1"/>
    <col min="10" max="11" width="5.33203125" bestFit="1" customWidth="1"/>
    <col min="12" max="13" width="6.33203125" bestFit="1" customWidth="1"/>
    <col min="14" max="14" width="10.88671875" bestFit="1" customWidth="1"/>
    <col min="15" max="19" width="5" bestFit="1" customWidth="1"/>
    <col min="20" max="20" width="5" customWidth="1"/>
    <col min="21" max="25" width="5" bestFit="1" customWidth="1"/>
    <col min="26" max="26" width="6.33203125" customWidth="1"/>
    <col min="27" max="27" width="5.88671875" customWidth="1"/>
    <col min="28" max="28" width="5.21875" customWidth="1"/>
    <col min="29" max="32" width="5" bestFit="1" customWidth="1"/>
    <col min="33" max="33" width="7.44140625" customWidth="1"/>
    <col min="34" max="35" width="5" bestFit="1" customWidth="1"/>
    <col min="36" max="36" width="8.44140625" customWidth="1"/>
    <col min="37" max="37" width="5" bestFit="1" customWidth="1"/>
    <col min="38" max="39" width="3.44140625" customWidth="1"/>
    <col min="40" max="40" width="1.88671875" hidden="1" customWidth="1"/>
    <col min="41" max="55" width="5" bestFit="1" customWidth="1"/>
    <col min="56" max="56" width="24.77734375" bestFit="1" customWidth="1"/>
    <col min="57" max="57" width="25" bestFit="1" customWidth="1"/>
    <col min="58" max="110" width="5" bestFit="1" customWidth="1"/>
    <col min="111" max="138" width="6" bestFit="1" customWidth="1"/>
    <col min="139" max="139" width="10.5546875" bestFit="1" customWidth="1"/>
  </cols>
  <sheetData>
    <row r="1" spans="6:57" outlineLevel="1" x14ac:dyDescent="0.3"/>
    <row r="2" spans="6:57" outlineLevel="1" x14ac:dyDescent="0.3"/>
    <row r="3" spans="6:57" ht="25.8" customHeight="1" outlineLevel="1" x14ac:dyDescent="0.3">
      <c r="G3" s="8" t="s">
        <v>118</v>
      </c>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4" spans="6:57" ht="24.6" customHeight="1" outlineLevel="1" x14ac:dyDescent="0.3">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spans="6:57" ht="14.4" customHeight="1" outlineLevel="1" x14ac:dyDescent="0.3">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spans="6:57" ht="14.4" customHeight="1" outlineLevel="1" x14ac:dyDescent="0.3">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row>
    <row r="7" spans="6:57" ht="20.399999999999999" customHeight="1" outlineLevel="1" x14ac:dyDescent="0.3">
      <c r="K7" s="4"/>
    </row>
    <row r="8" spans="6:57" ht="29.4" customHeight="1" outlineLevel="1" x14ac:dyDescent="0.3">
      <c r="G8" s="6" t="s">
        <v>100</v>
      </c>
      <c r="H8" s="6"/>
      <c r="I8" s="6"/>
      <c r="J8" s="6"/>
      <c r="K8" s="6"/>
      <c r="L8" s="6"/>
      <c r="N8" s="6" t="s">
        <v>113</v>
      </c>
      <c r="O8" s="7"/>
      <c r="P8" s="7"/>
      <c r="Q8" s="7"/>
      <c r="R8" s="7"/>
      <c r="S8" s="7"/>
      <c r="U8" s="6" t="s">
        <v>117</v>
      </c>
      <c r="V8" s="7"/>
      <c r="W8" s="7"/>
      <c r="X8" s="7"/>
      <c r="Y8" s="7"/>
      <c r="Z8" s="7"/>
      <c r="AB8" s="6" t="s">
        <v>114</v>
      </c>
      <c r="AC8" s="7"/>
      <c r="AD8" s="7"/>
      <c r="AE8" s="7"/>
      <c r="AF8" s="7"/>
      <c r="AG8" s="7"/>
      <c r="BD8" s="2" t="s">
        <v>94</v>
      </c>
      <c r="BE8" t="s">
        <v>97</v>
      </c>
    </row>
    <row r="9" spans="6:57" ht="24" customHeight="1" outlineLevel="1" x14ac:dyDescent="0.3">
      <c r="G9" s="5">
        <f>GETPIVOTDATA("TotalAmount",$BE$36)</f>
        <v>1531082</v>
      </c>
      <c r="H9" s="5"/>
      <c r="I9" s="5"/>
      <c r="J9" s="5"/>
      <c r="K9" s="5"/>
      <c r="L9" s="5"/>
      <c r="N9" s="5">
        <f>(GETPIVOTDATA("OrderID",$BD$36))</f>
        <v>246</v>
      </c>
      <c r="O9" s="5"/>
      <c r="P9" s="5"/>
      <c r="Q9" s="5"/>
      <c r="R9" s="5"/>
      <c r="S9" s="5"/>
      <c r="U9" s="5">
        <f>GETPIVOTDATA("[Measures].[Distinct Count of CustomerID]",$BD$78)</f>
        <v>50</v>
      </c>
      <c r="V9" s="5"/>
      <c r="W9" s="5"/>
      <c r="X9" s="5"/>
      <c r="Y9" s="5"/>
      <c r="Z9" s="5"/>
      <c r="AB9" s="5">
        <f>GETPIVOTDATA("Quantity",$BD$39)</f>
        <v>1338</v>
      </c>
      <c r="AC9" s="5"/>
      <c r="AD9" s="5"/>
      <c r="AE9" s="5"/>
      <c r="AF9" s="5"/>
      <c r="AG9" s="5"/>
      <c r="BD9" s="3" t="s">
        <v>30</v>
      </c>
      <c r="BE9" s="10">
        <v>492526</v>
      </c>
    </row>
    <row r="10" spans="6:57" ht="14.4" customHeight="1" outlineLevel="1" x14ac:dyDescent="0.3">
      <c r="G10" s="5"/>
      <c r="H10" s="5"/>
      <c r="I10" s="5"/>
      <c r="J10" s="5"/>
      <c r="K10" s="5"/>
      <c r="L10" s="5"/>
      <c r="N10" s="5"/>
      <c r="O10" s="5"/>
      <c r="P10" s="5"/>
      <c r="Q10" s="5"/>
      <c r="R10" s="5"/>
      <c r="S10" s="5"/>
      <c r="U10" s="5"/>
      <c r="V10" s="5"/>
      <c r="W10" s="5"/>
      <c r="X10" s="5"/>
      <c r="Y10" s="5"/>
      <c r="Z10" s="5"/>
      <c r="AB10" s="5"/>
      <c r="AC10" s="5"/>
      <c r="AD10" s="5"/>
      <c r="AE10" s="5"/>
      <c r="AF10" s="5"/>
      <c r="AG10" s="5"/>
      <c r="BD10" s="3" t="s">
        <v>62</v>
      </c>
      <c r="BE10" s="10">
        <v>136378</v>
      </c>
    </row>
    <row r="11" spans="6:57" ht="14.4" customHeight="1" outlineLevel="1" x14ac:dyDescent="0.3">
      <c r="G11" s="5"/>
      <c r="H11" s="5"/>
      <c r="I11" s="5"/>
      <c r="J11" s="5"/>
      <c r="K11" s="5"/>
      <c r="L11" s="5"/>
      <c r="N11" s="5"/>
      <c r="O11" s="5"/>
      <c r="P11" s="5"/>
      <c r="Q11" s="5"/>
      <c r="R11" s="5"/>
      <c r="S11" s="5"/>
      <c r="U11" s="5"/>
      <c r="V11" s="5"/>
      <c r="W11" s="5"/>
      <c r="X11" s="5"/>
      <c r="Y11" s="5"/>
      <c r="Z11" s="5"/>
      <c r="AB11" s="5"/>
      <c r="AC11" s="5"/>
      <c r="AD11" s="5"/>
      <c r="AE11" s="5"/>
      <c r="AF11" s="5"/>
      <c r="AG11" s="5"/>
      <c r="BD11" s="3" t="s">
        <v>14</v>
      </c>
      <c r="BE11" s="10">
        <v>260135</v>
      </c>
    </row>
    <row r="12" spans="6:57" ht="14.4" customHeight="1" outlineLevel="1" x14ac:dyDescent="0.3">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BD12" s="3" t="s">
        <v>19</v>
      </c>
      <c r="BE12" s="10">
        <v>642043</v>
      </c>
    </row>
    <row r="13" spans="6:57" ht="27" customHeight="1" outlineLevel="1" x14ac:dyDescent="0.3">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BD13" s="3" t="s">
        <v>95</v>
      </c>
      <c r="BE13" s="10">
        <v>1531082</v>
      </c>
    </row>
    <row r="14" spans="6:57" ht="14.4" customHeight="1" outlineLevel="1" x14ac:dyDescent="0.3">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row>
    <row r="15" spans="6:57" ht="14.4" customHeight="1" outlineLevel="1" x14ac:dyDescent="0.3">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BD15" s="2" t="s">
        <v>94</v>
      </c>
      <c r="BE15" t="s">
        <v>97</v>
      </c>
    </row>
    <row r="16" spans="6:57" ht="14.4" customHeight="1" outlineLevel="1" x14ac:dyDescent="0.3">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BD16" s="3" t="s">
        <v>24</v>
      </c>
      <c r="BE16" s="10">
        <v>408526</v>
      </c>
    </row>
    <row r="17" spans="6:57" ht="14.4" customHeight="1" outlineLevel="1" x14ac:dyDescent="0.3">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BD17" s="3" t="s">
        <v>15</v>
      </c>
      <c r="BE17" s="10">
        <v>381683</v>
      </c>
    </row>
    <row r="18" spans="6:57" ht="15.6" customHeight="1" outlineLevel="1" x14ac:dyDescent="0.3">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BD18" s="3" t="s">
        <v>33</v>
      </c>
      <c r="BE18" s="10">
        <v>381055</v>
      </c>
    </row>
    <row r="19" spans="6:57" outlineLevel="1" x14ac:dyDescent="0.3">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BD19" s="3" t="s">
        <v>20</v>
      </c>
      <c r="BE19" s="10">
        <v>359818</v>
      </c>
    </row>
    <row r="20" spans="6:57" outlineLevel="1" x14ac:dyDescent="0.3">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BD20" s="3" t="s">
        <v>95</v>
      </c>
      <c r="BE20" s="10">
        <v>1531082</v>
      </c>
    </row>
    <row r="21" spans="6:57" outlineLevel="1" x14ac:dyDescent="0.3">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row>
    <row r="22" spans="6:57" outlineLevel="1" x14ac:dyDescent="0.3">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BD22" s="2" t="s">
        <v>94</v>
      </c>
      <c r="BE22" t="s">
        <v>98</v>
      </c>
    </row>
    <row r="23" spans="6:57" outlineLevel="1" x14ac:dyDescent="0.3">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BD23" s="3" t="s">
        <v>24</v>
      </c>
      <c r="BE23" s="10">
        <v>66</v>
      </c>
    </row>
    <row r="24" spans="6:57" outlineLevel="1" x14ac:dyDescent="0.3">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BD24" s="3" t="s">
        <v>15</v>
      </c>
      <c r="BE24" s="10">
        <v>57</v>
      </c>
    </row>
    <row r="25" spans="6:57" outlineLevel="1" x14ac:dyDescent="0.3">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BD25" s="3" t="s">
        <v>33</v>
      </c>
      <c r="BE25" s="10">
        <v>64</v>
      </c>
    </row>
    <row r="26" spans="6:57" outlineLevel="1" x14ac:dyDescent="0.3">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BD26" s="3" t="s">
        <v>20</v>
      </c>
      <c r="BE26" s="10">
        <v>59</v>
      </c>
    </row>
    <row r="27" spans="6:57" outlineLevel="1" x14ac:dyDescent="0.3">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BD27" s="3" t="s">
        <v>95</v>
      </c>
      <c r="BE27" s="10">
        <v>246</v>
      </c>
    </row>
    <row r="28" spans="6:57" outlineLevel="1" x14ac:dyDescent="0.3">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row>
    <row r="29" spans="6:57" outlineLevel="1" x14ac:dyDescent="0.3">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BD29" s="2" t="s">
        <v>94</v>
      </c>
      <c r="BE29" t="s">
        <v>96</v>
      </c>
    </row>
    <row r="30" spans="6:57" outlineLevel="1" x14ac:dyDescent="0.3">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BD30" s="3" t="s">
        <v>30</v>
      </c>
      <c r="BE30" s="10">
        <v>360</v>
      </c>
    </row>
    <row r="31" spans="6:57" outlineLevel="1" x14ac:dyDescent="0.3">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BD31" s="3" t="s">
        <v>62</v>
      </c>
      <c r="BE31" s="10">
        <v>154</v>
      </c>
    </row>
    <row r="32" spans="6:57" outlineLevel="1" x14ac:dyDescent="0.3">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BD32" s="3" t="s">
        <v>14</v>
      </c>
      <c r="BE32" s="10">
        <v>358</v>
      </c>
    </row>
    <row r="33" spans="6:57" outlineLevel="1" x14ac:dyDescent="0.3">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BD33" s="3" t="s">
        <v>19</v>
      </c>
      <c r="BE33" s="10">
        <v>466</v>
      </c>
    </row>
    <row r="34" spans="6:57" outlineLevel="1" x14ac:dyDescent="0.3">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BD34" s="3" t="s">
        <v>95</v>
      </c>
      <c r="BE34" s="10">
        <v>1338</v>
      </c>
    </row>
    <row r="35" spans="6:57" outlineLevel="1" x14ac:dyDescent="0.3">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row>
    <row r="36" spans="6:57" outlineLevel="1" x14ac:dyDescent="0.3">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BD36" t="s">
        <v>99</v>
      </c>
      <c r="BE36" t="s">
        <v>97</v>
      </c>
    </row>
    <row r="37" spans="6:57" outlineLevel="1" x14ac:dyDescent="0.3">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BD37" s="10">
        <v>246</v>
      </c>
      <c r="BE37" s="10">
        <v>1531082</v>
      </c>
    </row>
    <row r="38" spans="6:57" outlineLevel="1" x14ac:dyDescent="0.3">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row>
    <row r="39" spans="6:57" outlineLevel="1" x14ac:dyDescent="0.3">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BD39" t="s">
        <v>96</v>
      </c>
    </row>
    <row r="40" spans="6:57" outlineLevel="1" x14ac:dyDescent="0.3">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BD40" s="10">
        <v>1338</v>
      </c>
    </row>
    <row r="41" spans="6:57" outlineLevel="1" x14ac:dyDescent="0.3">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row>
    <row r="42" spans="6:57" outlineLevel="1" x14ac:dyDescent="0.3">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BD42" s="2" t="s">
        <v>94</v>
      </c>
      <c r="BE42" t="s">
        <v>97</v>
      </c>
    </row>
    <row r="43" spans="6:57" outlineLevel="1" x14ac:dyDescent="0.3">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BD43" s="3" t="s">
        <v>17</v>
      </c>
      <c r="BE43" s="10">
        <v>328068</v>
      </c>
    </row>
    <row r="44" spans="6:57" outlineLevel="1" x14ac:dyDescent="0.3">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BD44" s="3" t="s">
        <v>22</v>
      </c>
      <c r="BE44" s="10">
        <v>416457</v>
      </c>
    </row>
    <row r="45" spans="6:57" outlineLevel="1" x14ac:dyDescent="0.3">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BD45" s="3" t="s">
        <v>63</v>
      </c>
      <c r="BE45" s="10">
        <v>273989</v>
      </c>
    </row>
    <row r="46" spans="6:57" outlineLevel="1" x14ac:dyDescent="0.3">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BD46" s="3" t="s">
        <v>26</v>
      </c>
      <c r="BE46" s="10">
        <v>512568</v>
      </c>
    </row>
    <row r="47" spans="6:57" outlineLevel="1" x14ac:dyDescent="0.3">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BD47" s="3" t="s">
        <v>95</v>
      </c>
      <c r="BE47" s="10">
        <v>1531082</v>
      </c>
    </row>
    <row r="48" spans="6:57" outlineLevel="1" x14ac:dyDescent="0.3">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row>
    <row r="49" spans="6:57" outlineLevel="1" x14ac:dyDescent="0.3">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BD49" s="2" t="s">
        <v>94</v>
      </c>
      <c r="BE49" t="s">
        <v>97</v>
      </c>
    </row>
    <row r="50" spans="6:57" outlineLevel="1" x14ac:dyDescent="0.3">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BD50" s="3" t="s">
        <v>101</v>
      </c>
      <c r="BE50" s="10">
        <v>123541</v>
      </c>
    </row>
    <row r="51" spans="6:57" outlineLevel="1" x14ac:dyDescent="0.3">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BD51" s="3" t="s">
        <v>102</v>
      </c>
      <c r="BE51" s="10">
        <v>183339</v>
      </c>
    </row>
    <row r="52" spans="6:57" outlineLevel="1" x14ac:dyDescent="0.3">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BD52" s="3" t="s">
        <v>103</v>
      </c>
      <c r="BE52" s="10">
        <v>308084</v>
      </c>
    </row>
    <row r="53" spans="6:57" outlineLevel="1" x14ac:dyDescent="0.3">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BD53" s="3" t="s">
        <v>104</v>
      </c>
      <c r="BE53" s="10">
        <v>169243</v>
      </c>
    </row>
    <row r="54" spans="6:57" outlineLevel="1" x14ac:dyDescent="0.3">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BD54" s="3" t="s">
        <v>105</v>
      </c>
      <c r="BE54" s="10">
        <v>298998</v>
      </c>
    </row>
    <row r="55" spans="6:57" outlineLevel="1" x14ac:dyDescent="0.3">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BD55" s="3" t="s">
        <v>106</v>
      </c>
      <c r="BE55" s="10">
        <v>147665</v>
      </c>
    </row>
    <row r="56" spans="6:57" outlineLevel="1" x14ac:dyDescent="0.3">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BD56" s="3" t="s">
        <v>107</v>
      </c>
      <c r="BE56" s="10">
        <v>75016</v>
      </c>
    </row>
    <row r="57" spans="6:57" outlineLevel="1" x14ac:dyDescent="0.3">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BD57" s="3" t="s">
        <v>108</v>
      </c>
      <c r="BE57" s="10">
        <v>54439</v>
      </c>
    </row>
    <row r="58" spans="6:57" outlineLevel="1" x14ac:dyDescent="0.3">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BD58" s="3" t="s">
        <v>109</v>
      </c>
      <c r="BE58" s="10">
        <v>44586</v>
      </c>
    </row>
    <row r="59" spans="6:57" outlineLevel="1" x14ac:dyDescent="0.3">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BD59" s="3" t="s">
        <v>110</v>
      </c>
      <c r="BE59" s="10">
        <v>47378</v>
      </c>
    </row>
    <row r="60" spans="6:57" outlineLevel="1" x14ac:dyDescent="0.3">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BD60" s="3" t="s">
        <v>111</v>
      </c>
      <c r="BE60" s="10">
        <v>34653</v>
      </c>
    </row>
    <row r="61" spans="6:57" outlineLevel="1" x14ac:dyDescent="0.3">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BD61" s="3" t="s">
        <v>112</v>
      </c>
      <c r="BE61" s="10">
        <v>44140</v>
      </c>
    </row>
    <row r="62" spans="6:57" outlineLevel="1" x14ac:dyDescent="0.3">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BD62" s="3" t="s">
        <v>95</v>
      </c>
      <c r="BE62" s="10">
        <v>1531082</v>
      </c>
    </row>
    <row r="63" spans="6:57" outlineLevel="1" x14ac:dyDescent="0.3">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row>
    <row r="64" spans="6:57" outlineLevel="1" x14ac:dyDescent="0.3">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BD64" s="2" t="s">
        <v>115</v>
      </c>
      <c r="BE64" t="s">
        <v>97</v>
      </c>
    </row>
    <row r="65" spans="6:57" outlineLevel="1" x14ac:dyDescent="0.3">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BD65" s="3" t="s">
        <v>44</v>
      </c>
      <c r="BE65" s="10">
        <v>228956</v>
      </c>
    </row>
    <row r="66" spans="6:57" outlineLevel="1" x14ac:dyDescent="0.3">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BD66" s="3" t="s">
        <v>55</v>
      </c>
      <c r="BE66" s="10">
        <v>171424</v>
      </c>
    </row>
    <row r="67" spans="6:57" x14ac:dyDescent="0.3">
      <c r="BD67" s="3" t="s">
        <v>23</v>
      </c>
      <c r="BE67" s="10">
        <v>127737</v>
      </c>
    </row>
    <row r="68" spans="6:57" x14ac:dyDescent="0.3">
      <c r="BD68" s="3" t="s">
        <v>36</v>
      </c>
      <c r="BE68" s="10">
        <v>114030</v>
      </c>
    </row>
    <row r="69" spans="6:57" x14ac:dyDescent="0.3">
      <c r="BD69" s="3" t="s">
        <v>29</v>
      </c>
      <c r="BE69" s="10">
        <v>112200</v>
      </c>
    </row>
    <row r="70" spans="6:57" x14ac:dyDescent="0.3">
      <c r="BD70" s="3" t="s">
        <v>80</v>
      </c>
      <c r="BE70" s="10">
        <v>91922</v>
      </c>
    </row>
    <row r="71" spans="6:57" x14ac:dyDescent="0.3">
      <c r="BD71" s="3" t="s">
        <v>18</v>
      </c>
      <c r="BE71" s="10">
        <v>76587</v>
      </c>
    </row>
    <row r="72" spans="6:57" x14ac:dyDescent="0.3">
      <c r="BD72" s="3" t="s">
        <v>13</v>
      </c>
      <c r="BE72" s="10">
        <v>75384</v>
      </c>
    </row>
    <row r="73" spans="6:57" x14ac:dyDescent="0.3">
      <c r="BD73" s="3" t="s">
        <v>81</v>
      </c>
      <c r="BE73" s="10">
        <v>75268</v>
      </c>
    </row>
    <row r="74" spans="6:57" x14ac:dyDescent="0.3">
      <c r="BD74" s="3" t="s">
        <v>67</v>
      </c>
      <c r="BE74" s="10">
        <v>74750</v>
      </c>
    </row>
    <row r="75" spans="6:57" x14ac:dyDescent="0.3">
      <c r="BD75" s="3" t="s">
        <v>95</v>
      </c>
      <c r="BE75" s="10">
        <v>1148258</v>
      </c>
    </row>
    <row r="78" spans="6:57" x14ac:dyDescent="0.3">
      <c r="BD78" t="s">
        <v>116</v>
      </c>
    </row>
    <row r="79" spans="6:57" x14ac:dyDescent="0.3">
      <c r="BD79" s="10">
        <v>50</v>
      </c>
    </row>
  </sheetData>
  <mergeCells count="11">
    <mergeCell ref="F16:AO66"/>
    <mergeCell ref="F12:AO15"/>
    <mergeCell ref="AB9:AG11"/>
    <mergeCell ref="AB8:AG8"/>
    <mergeCell ref="G3:AM6"/>
    <mergeCell ref="G9:L11"/>
    <mergeCell ref="N9:S11"/>
    <mergeCell ref="N8:S8"/>
    <mergeCell ref="U8:Z8"/>
    <mergeCell ref="U9:Z11"/>
    <mergeCell ref="G8:L8"/>
  </mergeCells>
  <phoneticPr fontId="18" type="noConversion"/>
  <pageMargins left="0.7" right="0.7" top="0.75" bottom="0.75" header="0.3" footer="0.3"/>
  <pageSetup scale="59" fitToWidth="0" orientation="landscape" r:id="rId12"/>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3B3AC-184A-4575-A754-618880FC52FD}">
  <dimension ref="A4:BH24"/>
  <sheetViews>
    <sheetView showGridLines="0" topLeftCell="A2" zoomScale="38" workbookViewId="0">
      <selection activeCell="Y19" sqref="Y19"/>
    </sheetView>
  </sheetViews>
  <sheetFormatPr defaultRowHeight="14.4" x14ac:dyDescent="0.3"/>
  <cols>
    <col min="25" max="25" width="33.44140625" customWidth="1"/>
  </cols>
  <sheetData>
    <row r="4" spans="24:60" x14ac:dyDescent="0.3">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row>
    <row r="5" spans="24:60" ht="14.4" customHeight="1" x14ac:dyDescent="0.3">
      <c r="AA5" s="12"/>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row>
    <row r="6" spans="24:60" ht="14.4" customHeight="1" x14ac:dyDescent="0.3">
      <c r="AA6" s="12"/>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row>
    <row r="7" spans="24:60" ht="14.4" customHeight="1" x14ac:dyDescent="0.5">
      <c r="Y7" s="18"/>
      <c r="AA7" s="12"/>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row>
    <row r="8" spans="24:60" ht="14.4" customHeight="1" x14ac:dyDescent="0.6">
      <c r="Y8" s="19"/>
      <c r="AA8" s="12"/>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row>
    <row r="9" spans="24:60" x14ac:dyDescent="0.3">
      <c r="AA9" s="12"/>
      <c r="AB9" s="12"/>
      <c r="AC9" s="12"/>
      <c r="AD9" s="12"/>
      <c r="AE9" s="12"/>
      <c r="AF9" s="13"/>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row>
    <row r="10" spans="24:60" ht="18" x14ac:dyDescent="0.3">
      <c r="AA10" s="12"/>
      <c r="AB10" s="12"/>
      <c r="AC10" s="12"/>
      <c r="AD10" s="12"/>
      <c r="AE10" s="12"/>
      <c r="AF10" s="12"/>
      <c r="AG10" s="12"/>
      <c r="AH10" s="12"/>
      <c r="AI10" s="15"/>
      <c r="AJ10" s="16"/>
      <c r="AK10" s="16"/>
      <c r="AL10" s="16"/>
      <c r="AM10" s="16"/>
      <c r="AN10" s="16"/>
      <c r="AO10" s="12"/>
      <c r="AP10" s="15"/>
      <c r="AQ10" s="16"/>
      <c r="AR10" s="16"/>
      <c r="AS10" s="16"/>
      <c r="AT10" s="16"/>
      <c r="AU10" s="16"/>
      <c r="AV10" s="12"/>
      <c r="AW10" s="15"/>
      <c r="AX10" s="16"/>
      <c r="AY10" s="16"/>
      <c r="AZ10" s="16"/>
      <c r="BA10" s="16"/>
      <c r="BB10" s="16"/>
      <c r="BC10" s="12"/>
      <c r="BD10" s="12"/>
      <c r="BE10" s="12"/>
      <c r="BF10" s="12"/>
      <c r="BG10" s="12"/>
      <c r="BH10" s="12"/>
    </row>
    <row r="11" spans="24:60" ht="14.4" customHeight="1" x14ac:dyDescent="0.3">
      <c r="AA11" s="12"/>
      <c r="AB11" s="12"/>
      <c r="AC11" s="12"/>
      <c r="AD11" s="12"/>
      <c r="AE11" s="12"/>
      <c r="AF11" s="12"/>
      <c r="AG11" s="12"/>
      <c r="AH11" s="12"/>
      <c r="AI11" s="17"/>
      <c r="AJ11" s="17"/>
      <c r="AK11" s="17"/>
      <c r="AL11" s="17"/>
      <c r="AM11" s="17"/>
      <c r="AN11" s="17"/>
      <c r="AO11" s="12"/>
      <c r="AP11" s="17"/>
      <c r="AQ11" s="17"/>
      <c r="AR11" s="17"/>
      <c r="AS11" s="17"/>
      <c r="AT11" s="17"/>
      <c r="AU11" s="17"/>
      <c r="AV11" s="12"/>
      <c r="AW11" s="17"/>
      <c r="AX11" s="17"/>
      <c r="AY11" s="17"/>
      <c r="AZ11" s="17"/>
      <c r="BA11" s="17"/>
      <c r="BB11" s="17"/>
      <c r="BC11" s="12"/>
      <c r="BD11" s="12"/>
      <c r="BE11" s="12"/>
      <c r="BF11" s="12"/>
      <c r="BG11" s="12"/>
      <c r="BH11" s="12"/>
    </row>
    <row r="12" spans="24:60" ht="14.4" customHeight="1" x14ac:dyDescent="0.3">
      <c r="AA12" s="12"/>
      <c r="AB12" s="12"/>
      <c r="AC12" s="12"/>
      <c r="AD12" s="12"/>
      <c r="AE12" s="12"/>
      <c r="AF12" s="12"/>
      <c r="AG12" s="12"/>
      <c r="AH12" s="12"/>
      <c r="AI12" s="17"/>
      <c r="AJ12" s="17"/>
      <c r="AK12" s="17"/>
      <c r="AL12" s="17"/>
      <c r="AM12" s="17"/>
      <c r="AN12" s="17"/>
      <c r="AO12" s="12"/>
      <c r="AP12" s="17"/>
      <c r="AQ12" s="17"/>
      <c r="AR12" s="17"/>
      <c r="AS12" s="17"/>
      <c r="AT12" s="17"/>
      <c r="AU12" s="17"/>
      <c r="AV12" s="12"/>
      <c r="AW12" s="17"/>
      <c r="AX12" s="17"/>
      <c r="AY12" s="17"/>
      <c r="AZ12" s="17"/>
      <c r="BA12" s="17"/>
      <c r="BB12" s="17"/>
      <c r="BC12" s="12"/>
      <c r="BD12" s="12"/>
      <c r="BE12" s="12"/>
      <c r="BF12" s="12"/>
      <c r="BG12" s="12"/>
      <c r="BH12" s="12"/>
    </row>
    <row r="13" spans="24:60" ht="18" customHeight="1" x14ac:dyDescent="0.3">
      <c r="X13" s="11"/>
      <c r="Y13" s="11"/>
      <c r="Z13" s="11"/>
      <c r="AA13" s="11"/>
      <c r="AB13" s="11"/>
      <c r="AC13" s="11"/>
      <c r="AD13" s="12"/>
      <c r="AE13" s="12"/>
      <c r="AF13" s="12"/>
      <c r="AG13" s="12"/>
      <c r="AH13" s="12"/>
      <c r="AI13" s="17"/>
      <c r="AJ13" s="17"/>
      <c r="AK13" s="17"/>
      <c r="AL13" s="17"/>
      <c r="AM13" s="17"/>
      <c r="AN13" s="17"/>
      <c r="AO13" s="12"/>
      <c r="AP13" s="17"/>
      <c r="AQ13" s="17"/>
      <c r="AR13" s="17"/>
      <c r="AS13" s="17"/>
      <c r="AT13" s="17"/>
      <c r="AU13" s="17"/>
      <c r="AV13" s="12"/>
      <c r="AW13" s="17"/>
      <c r="AX13" s="17"/>
      <c r="AY13" s="17"/>
      <c r="AZ13" s="17"/>
      <c r="BA13" s="17"/>
      <c r="BB13" s="17"/>
      <c r="BC13" s="12"/>
      <c r="BD13" s="12"/>
      <c r="BE13" s="12"/>
      <c r="BF13" s="12"/>
      <c r="BG13" s="12"/>
      <c r="BH13" s="12"/>
    </row>
    <row r="14" spans="24:60" ht="14.4" customHeight="1" x14ac:dyDescent="0.3">
      <c r="X14" s="11"/>
      <c r="Y14" s="11"/>
      <c r="Z14" s="11"/>
      <c r="AA14" s="11"/>
      <c r="AB14" s="11"/>
      <c r="AC14" s="11"/>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row>
    <row r="15" spans="24:60" ht="14.4" customHeight="1" x14ac:dyDescent="0.3">
      <c r="X15" s="11"/>
      <c r="Y15" s="11"/>
      <c r="Z15" s="11"/>
      <c r="AA15" s="11"/>
      <c r="AB15" s="11"/>
      <c r="AC15" s="11"/>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row>
    <row r="16" spans="24:60" ht="14.4" customHeight="1" x14ac:dyDescent="0.3">
      <c r="X16" s="11"/>
      <c r="Y16" s="11"/>
      <c r="Z16" s="11"/>
      <c r="AA16" s="11"/>
      <c r="AB16" s="11"/>
      <c r="AC16" s="11"/>
    </row>
    <row r="21" spans="1:6" ht="18" x14ac:dyDescent="0.3">
      <c r="A21" s="15"/>
      <c r="B21" s="16"/>
      <c r="C21" s="16"/>
      <c r="D21" s="16"/>
      <c r="E21" s="16"/>
      <c r="F21" s="16"/>
    </row>
    <row r="22" spans="1:6" ht="14.4" customHeight="1" x14ac:dyDescent="0.3">
      <c r="A22" s="17"/>
      <c r="B22" s="17"/>
      <c r="C22" s="17"/>
      <c r="D22" s="17"/>
      <c r="E22" s="17"/>
      <c r="F22" s="17"/>
    </row>
    <row r="23" spans="1:6" ht="14.4" customHeight="1" x14ac:dyDescent="0.3">
      <c r="A23" s="17"/>
      <c r="B23" s="17"/>
      <c r="C23" s="17"/>
      <c r="D23" s="17"/>
      <c r="E23" s="17"/>
      <c r="F23" s="17"/>
    </row>
    <row r="24" spans="1:6" ht="14.4" customHeight="1" x14ac:dyDescent="0.3">
      <c r="A24" s="17"/>
      <c r="B24" s="17"/>
      <c r="C24" s="17"/>
      <c r="D24" s="17"/>
      <c r="E24" s="17"/>
      <c r="F24"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21D4C-EC57-43A5-A0B8-BEA9AF59EFAA}">
  <dimension ref="A1:L247"/>
  <sheetViews>
    <sheetView zoomScale="69" workbookViewId="0">
      <pane ySplit="1" topLeftCell="A2" activePane="bottomLeft" state="frozen"/>
      <selection pane="bottomLeft" activeCell="A2" sqref="A2:L247"/>
    </sheetView>
  </sheetViews>
  <sheetFormatPr defaultRowHeight="14.4" x14ac:dyDescent="0.3"/>
  <cols>
    <col min="1" max="1" width="9.44140625" customWidth="1"/>
    <col min="2" max="2" width="17.44140625" customWidth="1"/>
    <col min="3" max="3" width="12.77734375" customWidth="1"/>
    <col min="4" max="4" width="16" customWidth="1"/>
    <col min="5" max="5" width="8.44140625" customWidth="1"/>
    <col min="6" max="6" width="11.21875" customWidth="1"/>
    <col min="7" max="7" width="14.44140625" customWidth="1"/>
    <col min="8" max="8" width="11.109375" bestFit="1" customWidth="1"/>
    <col min="9" max="9" width="10" customWidth="1"/>
    <col min="10" max="10" width="7.21875" customWidth="1"/>
    <col min="11" max="11" width="13.44140625" customWidth="1"/>
    <col min="12" max="12" width="16.44140625" customWidth="1"/>
    <col min="14" max="14" width="12.44140625" bestFit="1" customWidth="1"/>
    <col min="15" max="15" width="16.21875" bestFit="1" customWidth="1"/>
    <col min="16" max="16" width="13.5546875" bestFit="1" customWidth="1"/>
    <col min="17" max="17" width="17.88671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1001</v>
      </c>
      <c r="B2" s="1">
        <v>45433</v>
      </c>
      <c r="C2">
        <v>2</v>
      </c>
      <c r="D2" t="s">
        <v>12</v>
      </c>
      <c r="E2" t="s">
        <v>63</v>
      </c>
      <c r="F2">
        <v>9</v>
      </c>
      <c r="G2" t="s">
        <v>13</v>
      </c>
      <c r="H2" t="s">
        <v>14</v>
      </c>
      <c r="I2">
        <v>9</v>
      </c>
      <c r="J2">
        <v>1047</v>
      </c>
      <c r="K2">
        <v>9423</v>
      </c>
      <c r="L2" t="s">
        <v>15</v>
      </c>
    </row>
    <row r="3" spans="1:12" x14ac:dyDescent="0.3">
      <c r="A3">
        <v>1002</v>
      </c>
      <c r="B3" s="1">
        <v>45309</v>
      </c>
      <c r="C3">
        <v>37</v>
      </c>
      <c r="D3" t="s">
        <v>16</v>
      </c>
      <c r="E3" t="s">
        <v>17</v>
      </c>
      <c r="F3">
        <v>19</v>
      </c>
      <c r="G3" t="s">
        <v>18</v>
      </c>
      <c r="H3" t="s">
        <v>19</v>
      </c>
      <c r="I3">
        <v>1</v>
      </c>
      <c r="J3">
        <v>1563</v>
      </c>
      <c r="K3">
        <v>1563</v>
      </c>
      <c r="L3" t="s">
        <v>20</v>
      </c>
    </row>
    <row r="4" spans="1:12" x14ac:dyDescent="0.3">
      <c r="A4">
        <v>1003</v>
      </c>
      <c r="B4" s="1">
        <v>45379</v>
      </c>
      <c r="C4">
        <v>9</v>
      </c>
      <c r="D4" t="s">
        <v>21</v>
      </c>
      <c r="E4" t="s">
        <v>22</v>
      </c>
      <c r="F4">
        <v>12</v>
      </c>
      <c r="G4" t="s">
        <v>23</v>
      </c>
      <c r="H4" t="s">
        <v>19</v>
      </c>
      <c r="I4">
        <v>4</v>
      </c>
      <c r="J4">
        <v>1539</v>
      </c>
      <c r="K4">
        <v>6156</v>
      </c>
      <c r="L4" t="s">
        <v>24</v>
      </c>
    </row>
    <row r="5" spans="1:12" x14ac:dyDescent="0.3">
      <c r="A5">
        <v>1004</v>
      </c>
      <c r="B5" s="1">
        <v>45380</v>
      </c>
      <c r="C5">
        <v>40</v>
      </c>
      <c r="D5" t="s">
        <v>25</v>
      </c>
      <c r="E5" t="s">
        <v>26</v>
      </c>
      <c r="F5">
        <v>14</v>
      </c>
      <c r="G5" t="s">
        <v>27</v>
      </c>
      <c r="H5" t="s">
        <v>14</v>
      </c>
      <c r="I5">
        <v>3</v>
      </c>
      <c r="J5">
        <v>204</v>
      </c>
      <c r="K5">
        <v>612</v>
      </c>
      <c r="L5" t="s">
        <v>20</v>
      </c>
    </row>
    <row r="6" spans="1:12" x14ac:dyDescent="0.3">
      <c r="A6">
        <v>1005</v>
      </c>
      <c r="B6" s="1">
        <v>45437</v>
      </c>
      <c r="C6">
        <v>40</v>
      </c>
      <c r="D6" t="s">
        <v>25</v>
      </c>
      <c r="E6" t="s">
        <v>26</v>
      </c>
      <c r="F6">
        <v>14</v>
      </c>
      <c r="G6" t="s">
        <v>27</v>
      </c>
      <c r="H6" t="s">
        <v>14</v>
      </c>
      <c r="I6">
        <v>9</v>
      </c>
      <c r="J6">
        <v>204</v>
      </c>
      <c r="K6">
        <v>1836</v>
      </c>
      <c r="L6" t="s">
        <v>24</v>
      </c>
    </row>
    <row r="7" spans="1:12" x14ac:dyDescent="0.3">
      <c r="A7">
        <v>1006</v>
      </c>
      <c r="B7" s="1">
        <v>45471</v>
      </c>
      <c r="C7">
        <v>48</v>
      </c>
      <c r="D7" t="s">
        <v>28</v>
      </c>
      <c r="E7" t="s">
        <v>63</v>
      </c>
      <c r="F7">
        <v>17</v>
      </c>
      <c r="G7" t="s">
        <v>29</v>
      </c>
      <c r="H7" t="s">
        <v>30</v>
      </c>
      <c r="I7">
        <v>4</v>
      </c>
      <c r="J7">
        <v>1320</v>
      </c>
      <c r="K7">
        <v>5280</v>
      </c>
      <c r="L7" t="s">
        <v>24</v>
      </c>
    </row>
    <row r="8" spans="1:12" x14ac:dyDescent="0.3">
      <c r="A8">
        <v>1007</v>
      </c>
      <c r="B8" s="1">
        <v>45336</v>
      </c>
      <c r="C8">
        <v>25</v>
      </c>
      <c r="D8" t="s">
        <v>31</v>
      </c>
      <c r="E8" t="s">
        <v>63</v>
      </c>
      <c r="F8">
        <v>18</v>
      </c>
      <c r="G8" t="s">
        <v>32</v>
      </c>
      <c r="H8" t="s">
        <v>19</v>
      </c>
      <c r="I8">
        <v>1</v>
      </c>
      <c r="J8">
        <v>1099</v>
      </c>
      <c r="K8">
        <v>1099</v>
      </c>
      <c r="L8" t="s">
        <v>33</v>
      </c>
    </row>
    <row r="9" spans="1:12" x14ac:dyDescent="0.3">
      <c r="A9">
        <v>1008</v>
      </c>
      <c r="B9" s="1">
        <v>45395</v>
      </c>
      <c r="C9">
        <v>30</v>
      </c>
      <c r="D9" t="s">
        <v>34</v>
      </c>
      <c r="E9" t="s">
        <v>26</v>
      </c>
      <c r="F9">
        <v>12</v>
      </c>
      <c r="G9" t="s">
        <v>23</v>
      </c>
      <c r="H9" t="s">
        <v>19</v>
      </c>
      <c r="I9">
        <v>10</v>
      </c>
      <c r="J9">
        <v>1539</v>
      </c>
      <c r="K9">
        <v>15390</v>
      </c>
      <c r="L9" t="s">
        <v>20</v>
      </c>
    </row>
    <row r="10" spans="1:12" x14ac:dyDescent="0.3">
      <c r="A10">
        <v>1009</v>
      </c>
      <c r="B10" s="1">
        <v>45404</v>
      </c>
      <c r="C10">
        <v>5</v>
      </c>
      <c r="D10" t="s">
        <v>35</v>
      </c>
      <c r="E10" t="s">
        <v>26</v>
      </c>
      <c r="F10">
        <v>13</v>
      </c>
      <c r="G10" t="s">
        <v>36</v>
      </c>
      <c r="H10" t="s">
        <v>19</v>
      </c>
      <c r="I10">
        <v>6</v>
      </c>
      <c r="J10">
        <v>1267</v>
      </c>
      <c r="K10">
        <v>7602</v>
      </c>
      <c r="L10" t="s">
        <v>20</v>
      </c>
    </row>
    <row r="11" spans="1:12" x14ac:dyDescent="0.3">
      <c r="A11">
        <v>1010</v>
      </c>
      <c r="B11" s="1">
        <v>45333</v>
      </c>
      <c r="C11">
        <v>39</v>
      </c>
      <c r="D11" t="s">
        <v>37</v>
      </c>
      <c r="E11" t="s">
        <v>63</v>
      </c>
      <c r="F11">
        <v>5</v>
      </c>
      <c r="G11" t="s">
        <v>38</v>
      </c>
      <c r="H11" t="s">
        <v>30</v>
      </c>
      <c r="I11">
        <v>1</v>
      </c>
      <c r="J11">
        <v>632</v>
      </c>
      <c r="K11">
        <v>632</v>
      </c>
      <c r="L11" t="s">
        <v>20</v>
      </c>
    </row>
    <row r="12" spans="1:12" x14ac:dyDescent="0.3">
      <c r="A12">
        <v>1011</v>
      </c>
      <c r="B12" s="1">
        <v>45377</v>
      </c>
      <c r="C12">
        <v>7</v>
      </c>
      <c r="D12" t="s">
        <v>39</v>
      </c>
      <c r="E12" t="s">
        <v>26</v>
      </c>
      <c r="F12">
        <v>17</v>
      </c>
      <c r="G12" t="s">
        <v>29</v>
      </c>
      <c r="H12" t="s">
        <v>30</v>
      </c>
      <c r="I12">
        <v>6</v>
      </c>
      <c r="J12">
        <v>1320</v>
      </c>
      <c r="K12">
        <v>7920</v>
      </c>
      <c r="L12" t="s">
        <v>24</v>
      </c>
    </row>
    <row r="13" spans="1:12" x14ac:dyDescent="0.3">
      <c r="A13">
        <v>1012</v>
      </c>
      <c r="B13" s="1">
        <v>45387</v>
      </c>
      <c r="C13">
        <v>29</v>
      </c>
      <c r="D13" t="s">
        <v>40</v>
      </c>
      <c r="E13" t="s">
        <v>26</v>
      </c>
      <c r="F13">
        <v>9</v>
      </c>
      <c r="G13" t="s">
        <v>13</v>
      </c>
      <c r="H13" t="s">
        <v>14</v>
      </c>
      <c r="I13">
        <v>5</v>
      </c>
      <c r="J13">
        <v>1047</v>
      </c>
      <c r="K13">
        <v>5235</v>
      </c>
      <c r="L13" t="s">
        <v>15</v>
      </c>
    </row>
    <row r="14" spans="1:12" x14ac:dyDescent="0.3">
      <c r="A14">
        <v>1013</v>
      </c>
      <c r="B14" s="1">
        <v>45434</v>
      </c>
      <c r="C14">
        <v>45</v>
      </c>
      <c r="D14" t="s">
        <v>41</v>
      </c>
      <c r="E14" t="s">
        <v>63</v>
      </c>
      <c r="F14">
        <v>1</v>
      </c>
      <c r="G14" t="s">
        <v>42</v>
      </c>
      <c r="H14" t="s">
        <v>14</v>
      </c>
      <c r="I14">
        <v>1</v>
      </c>
      <c r="J14">
        <v>574</v>
      </c>
      <c r="K14">
        <v>574</v>
      </c>
      <c r="L14" t="s">
        <v>33</v>
      </c>
    </row>
    <row r="15" spans="1:12" x14ac:dyDescent="0.3">
      <c r="A15">
        <v>1014</v>
      </c>
      <c r="B15" s="1">
        <v>45458</v>
      </c>
      <c r="C15">
        <v>16</v>
      </c>
      <c r="D15" t="s">
        <v>43</v>
      </c>
      <c r="E15" t="s">
        <v>17</v>
      </c>
      <c r="F15">
        <v>8</v>
      </c>
      <c r="G15" t="s">
        <v>44</v>
      </c>
      <c r="H15" t="s">
        <v>19</v>
      </c>
      <c r="I15">
        <v>9</v>
      </c>
      <c r="J15">
        <v>1924</v>
      </c>
      <c r="K15">
        <v>17316</v>
      </c>
      <c r="L15" t="s">
        <v>24</v>
      </c>
    </row>
    <row r="16" spans="1:12" x14ac:dyDescent="0.3">
      <c r="A16">
        <v>1015</v>
      </c>
      <c r="B16" s="1">
        <v>45342</v>
      </c>
      <c r="C16">
        <v>17</v>
      </c>
      <c r="D16" t="s">
        <v>45</v>
      </c>
      <c r="E16" t="s">
        <v>26</v>
      </c>
      <c r="F16">
        <v>17</v>
      </c>
      <c r="G16" t="s">
        <v>29</v>
      </c>
      <c r="H16" t="s">
        <v>30</v>
      </c>
      <c r="I16">
        <v>2</v>
      </c>
      <c r="J16">
        <v>1320</v>
      </c>
      <c r="K16">
        <v>2640</v>
      </c>
      <c r="L16" t="s">
        <v>24</v>
      </c>
    </row>
    <row r="17" spans="1:12" x14ac:dyDescent="0.3">
      <c r="A17">
        <v>1016</v>
      </c>
      <c r="B17" s="1">
        <v>45441</v>
      </c>
      <c r="C17">
        <v>26</v>
      </c>
      <c r="D17" t="s">
        <v>46</v>
      </c>
      <c r="E17" t="s">
        <v>63</v>
      </c>
      <c r="F17">
        <v>8</v>
      </c>
      <c r="G17" t="s">
        <v>44</v>
      </c>
      <c r="H17" t="s">
        <v>19</v>
      </c>
      <c r="I17">
        <v>8</v>
      </c>
      <c r="J17">
        <v>1924</v>
      </c>
      <c r="K17">
        <v>15392</v>
      </c>
      <c r="L17" t="s">
        <v>24</v>
      </c>
    </row>
    <row r="18" spans="1:12" x14ac:dyDescent="0.3">
      <c r="A18">
        <v>1017</v>
      </c>
      <c r="B18" s="1">
        <v>45408</v>
      </c>
      <c r="C18">
        <v>25</v>
      </c>
      <c r="D18" t="s">
        <v>31</v>
      </c>
      <c r="E18" t="s">
        <v>63</v>
      </c>
      <c r="F18">
        <v>8</v>
      </c>
      <c r="G18" t="s">
        <v>44</v>
      </c>
      <c r="H18" t="s">
        <v>19</v>
      </c>
      <c r="I18">
        <v>6</v>
      </c>
      <c r="J18">
        <v>1924</v>
      </c>
      <c r="K18">
        <v>11544</v>
      </c>
      <c r="L18" t="s">
        <v>33</v>
      </c>
    </row>
    <row r="19" spans="1:12" x14ac:dyDescent="0.3">
      <c r="A19">
        <v>1018</v>
      </c>
      <c r="B19" s="1">
        <v>45417</v>
      </c>
      <c r="C19">
        <v>1</v>
      </c>
      <c r="D19" t="s">
        <v>47</v>
      </c>
      <c r="E19" t="s">
        <v>22</v>
      </c>
      <c r="F19">
        <v>8</v>
      </c>
      <c r="G19" t="s">
        <v>44</v>
      </c>
      <c r="H19" t="s">
        <v>19</v>
      </c>
      <c r="I19">
        <v>10</v>
      </c>
      <c r="J19">
        <v>1924</v>
      </c>
      <c r="K19">
        <v>19240</v>
      </c>
      <c r="L19" t="s">
        <v>15</v>
      </c>
    </row>
    <row r="20" spans="1:12" x14ac:dyDescent="0.3">
      <c r="A20">
        <v>1019</v>
      </c>
      <c r="B20" s="1">
        <v>45374</v>
      </c>
      <c r="C20">
        <v>16</v>
      </c>
      <c r="D20" t="s">
        <v>43</v>
      </c>
      <c r="E20" t="s">
        <v>17</v>
      </c>
      <c r="F20">
        <v>14</v>
      </c>
      <c r="G20" t="s">
        <v>27</v>
      </c>
      <c r="H20" t="s">
        <v>14</v>
      </c>
      <c r="I20">
        <v>3</v>
      </c>
      <c r="J20">
        <v>204</v>
      </c>
      <c r="K20">
        <v>612</v>
      </c>
      <c r="L20" t="s">
        <v>20</v>
      </c>
    </row>
    <row r="21" spans="1:12" x14ac:dyDescent="0.3">
      <c r="A21">
        <v>1020</v>
      </c>
      <c r="B21" s="1">
        <v>45387</v>
      </c>
      <c r="C21">
        <v>31</v>
      </c>
      <c r="D21" t="s">
        <v>48</v>
      </c>
      <c r="E21" t="s">
        <v>22</v>
      </c>
      <c r="F21">
        <v>2</v>
      </c>
      <c r="G21" t="s">
        <v>49</v>
      </c>
      <c r="H21" t="s">
        <v>19</v>
      </c>
      <c r="I21">
        <v>7</v>
      </c>
      <c r="J21">
        <v>481</v>
      </c>
      <c r="K21">
        <v>3367</v>
      </c>
      <c r="L21" t="s">
        <v>20</v>
      </c>
    </row>
    <row r="22" spans="1:12" x14ac:dyDescent="0.3">
      <c r="A22">
        <v>1021</v>
      </c>
      <c r="B22" s="1">
        <v>45366</v>
      </c>
      <c r="C22">
        <v>38</v>
      </c>
      <c r="D22" t="s">
        <v>50</v>
      </c>
      <c r="E22" t="s">
        <v>17</v>
      </c>
      <c r="F22">
        <v>8</v>
      </c>
      <c r="G22" t="s">
        <v>44</v>
      </c>
      <c r="H22" t="s">
        <v>19</v>
      </c>
      <c r="I22">
        <v>1</v>
      </c>
      <c r="J22">
        <v>1924</v>
      </c>
      <c r="K22">
        <v>1924</v>
      </c>
      <c r="L22" t="s">
        <v>15</v>
      </c>
    </row>
    <row r="23" spans="1:12" x14ac:dyDescent="0.3">
      <c r="A23">
        <v>1022</v>
      </c>
      <c r="B23" s="1">
        <v>45354</v>
      </c>
      <c r="C23">
        <v>28</v>
      </c>
      <c r="D23" t="s">
        <v>51</v>
      </c>
      <c r="E23" t="s">
        <v>17</v>
      </c>
      <c r="F23">
        <v>4</v>
      </c>
      <c r="G23" t="s">
        <v>52</v>
      </c>
      <c r="H23" t="s">
        <v>14</v>
      </c>
      <c r="I23">
        <v>10</v>
      </c>
      <c r="J23">
        <v>1380</v>
      </c>
      <c r="K23">
        <v>13800</v>
      </c>
      <c r="L23" t="s">
        <v>24</v>
      </c>
    </row>
    <row r="24" spans="1:12" x14ac:dyDescent="0.3">
      <c r="A24">
        <v>1023</v>
      </c>
      <c r="B24" s="1">
        <v>45467</v>
      </c>
      <c r="C24">
        <v>35</v>
      </c>
      <c r="D24" t="s">
        <v>53</v>
      </c>
      <c r="E24" t="s">
        <v>63</v>
      </c>
      <c r="F24">
        <v>9</v>
      </c>
      <c r="G24" t="s">
        <v>13</v>
      </c>
      <c r="H24" t="s">
        <v>14</v>
      </c>
      <c r="I24">
        <v>2</v>
      </c>
      <c r="J24">
        <v>1047</v>
      </c>
      <c r="K24">
        <v>2094</v>
      </c>
      <c r="L24" t="s">
        <v>33</v>
      </c>
    </row>
    <row r="25" spans="1:12" x14ac:dyDescent="0.3">
      <c r="A25">
        <v>1024</v>
      </c>
      <c r="B25" s="1">
        <v>45296</v>
      </c>
      <c r="C25">
        <v>46</v>
      </c>
      <c r="D25" t="s">
        <v>54</v>
      </c>
      <c r="E25" t="s">
        <v>22</v>
      </c>
      <c r="F25">
        <v>16</v>
      </c>
      <c r="G25" t="s">
        <v>55</v>
      </c>
      <c r="H25" t="s">
        <v>30</v>
      </c>
      <c r="I25">
        <v>10</v>
      </c>
      <c r="J25">
        <v>1948</v>
      </c>
      <c r="K25">
        <v>19480</v>
      </c>
      <c r="L25" t="s">
        <v>15</v>
      </c>
    </row>
    <row r="26" spans="1:12" x14ac:dyDescent="0.3">
      <c r="A26">
        <v>1025</v>
      </c>
      <c r="B26" s="1">
        <v>45362</v>
      </c>
      <c r="C26">
        <v>12</v>
      </c>
      <c r="D26" t="s">
        <v>56</v>
      </c>
      <c r="E26" t="s">
        <v>22</v>
      </c>
      <c r="F26">
        <v>9</v>
      </c>
      <c r="G26" t="s">
        <v>13</v>
      </c>
      <c r="H26" t="s">
        <v>14</v>
      </c>
      <c r="I26">
        <v>6</v>
      </c>
      <c r="J26">
        <v>1047</v>
      </c>
      <c r="K26">
        <v>6282</v>
      </c>
      <c r="L26" t="s">
        <v>24</v>
      </c>
    </row>
    <row r="27" spans="1:12" x14ac:dyDescent="0.3">
      <c r="A27">
        <v>1026</v>
      </c>
      <c r="B27" s="1">
        <v>45427</v>
      </c>
      <c r="C27">
        <v>48</v>
      </c>
      <c r="D27" t="s">
        <v>28</v>
      </c>
      <c r="E27" t="s">
        <v>63</v>
      </c>
      <c r="F27">
        <v>8</v>
      </c>
      <c r="G27" t="s">
        <v>44</v>
      </c>
      <c r="H27" t="s">
        <v>19</v>
      </c>
      <c r="I27">
        <v>6</v>
      </c>
      <c r="J27">
        <v>1924</v>
      </c>
      <c r="K27">
        <v>11544</v>
      </c>
      <c r="L27" t="s">
        <v>20</v>
      </c>
    </row>
    <row r="28" spans="1:12" x14ac:dyDescent="0.3">
      <c r="A28">
        <v>1027</v>
      </c>
      <c r="B28" s="1">
        <v>45400</v>
      </c>
      <c r="C28">
        <v>4</v>
      </c>
      <c r="D28" t="s">
        <v>57</v>
      </c>
      <c r="E28" t="s">
        <v>17</v>
      </c>
      <c r="F28">
        <v>2</v>
      </c>
      <c r="G28" t="s">
        <v>49</v>
      </c>
      <c r="H28" t="s">
        <v>19</v>
      </c>
      <c r="I28">
        <v>4</v>
      </c>
      <c r="J28">
        <v>481</v>
      </c>
      <c r="K28">
        <v>1924</v>
      </c>
      <c r="L28" t="s">
        <v>15</v>
      </c>
    </row>
    <row r="29" spans="1:12" x14ac:dyDescent="0.3">
      <c r="A29">
        <v>1028</v>
      </c>
      <c r="B29" s="1">
        <v>45338</v>
      </c>
      <c r="C29">
        <v>21</v>
      </c>
      <c r="D29" t="s">
        <v>58</v>
      </c>
      <c r="E29" t="s">
        <v>26</v>
      </c>
      <c r="F29">
        <v>14</v>
      </c>
      <c r="G29" t="s">
        <v>27</v>
      </c>
      <c r="H29" t="s">
        <v>14</v>
      </c>
      <c r="I29">
        <v>7</v>
      </c>
      <c r="J29">
        <v>204</v>
      </c>
      <c r="K29">
        <v>1428</v>
      </c>
      <c r="L29" t="s">
        <v>33</v>
      </c>
    </row>
    <row r="30" spans="1:12" x14ac:dyDescent="0.3">
      <c r="A30">
        <v>1029</v>
      </c>
      <c r="B30" s="1">
        <v>45326</v>
      </c>
      <c r="C30">
        <v>27</v>
      </c>
      <c r="D30" t="s">
        <v>59</v>
      </c>
      <c r="E30" t="s">
        <v>26</v>
      </c>
      <c r="F30">
        <v>16</v>
      </c>
      <c r="G30" t="s">
        <v>55</v>
      </c>
      <c r="H30" t="s">
        <v>30</v>
      </c>
      <c r="I30">
        <v>5</v>
      </c>
      <c r="J30">
        <v>1948</v>
      </c>
      <c r="K30">
        <v>9740</v>
      </c>
      <c r="L30" t="s">
        <v>33</v>
      </c>
    </row>
    <row r="31" spans="1:12" x14ac:dyDescent="0.3">
      <c r="A31">
        <v>1030</v>
      </c>
      <c r="B31" s="1">
        <v>45357</v>
      </c>
      <c r="C31">
        <v>36</v>
      </c>
      <c r="D31" t="s">
        <v>60</v>
      </c>
      <c r="E31" t="s">
        <v>22</v>
      </c>
      <c r="F31">
        <v>19</v>
      </c>
      <c r="G31" t="s">
        <v>18</v>
      </c>
      <c r="H31" t="s">
        <v>19</v>
      </c>
      <c r="I31">
        <v>4</v>
      </c>
      <c r="J31">
        <v>1563</v>
      </c>
      <c r="K31">
        <v>6252</v>
      </c>
      <c r="L31" t="s">
        <v>20</v>
      </c>
    </row>
    <row r="32" spans="1:12" x14ac:dyDescent="0.3">
      <c r="A32">
        <v>1031</v>
      </c>
      <c r="B32" s="1">
        <v>45394</v>
      </c>
      <c r="C32">
        <v>5</v>
      </c>
      <c r="D32" t="s">
        <v>35</v>
      </c>
      <c r="E32" t="s">
        <v>26</v>
      </c>
      <c r="F32">
        <v>10</v>
      </c>
      <c r="G32" t="s">
        <v>61</v>
      </c>
      <c r="H32" t="s">
        <v>62</v>
      </c>
      <c r="I32">
        <v>8</v>
      </c>
      <c r="J32">
        <v>273</v>
      </c>
      <c r="K32">
        <v>2184</v>
      </c>
      <c r="L32" t="s">
        <v>20</v>
      </c>
    </row>
    <row r="33" spans="1:12" x14ac:dyDescent="0.3">
      <c r="A33">
        <v>1032</v>
      </c>
      <c r="B33" s="1">
        <v>45432</v>
      </c>
      <c r="C33">
        <v>5</v>
      </c>
      <c r="D33" t="s">
        <v>35</v>
      </c>
      <c r="E33" t="s">
        <v>26</v>
      </c>
      <c r="F33">
        <v>14</v>
      </c>
      <c r="G33" t="s">
        <v>27</v>
      </c>
      <c r="H33" t="s">
        <v>14</v>
      </c>
      <c r="I33">
        <v>9</v>
      </c>
      <c r="J33">
        <v>204</v>
      </c>
      <c r="K33">
        <v>1836</v>
      </c>
      <c r="L33" t="s">
        <v>20</v>
      </c>
    </row>
    <row r="34" spans="1:12" x14ac:dyDescent="0.3">
      <c r="A34">
        <v>1033</v>
      </c>
      <c r="B34" s="1">
        <v>45350</v>
      </c>
      <c r="C34">
        <v>40</v>
      </c>
      <c r="D34" t="s">
        <v>25</v>
      </c>
      <c r="E34" t="s">
        <v>26</v>
      </c>
      <c r="F34">
        <v>13</v>
      </c>
      <c r="G34" t="s">
        <v>36</v>
      </c>
      <c r="H34" t="s">
        <v>19</v>
      </c>
      <c r="I34">
        <v>6</v>
      </c>
      <c r="J34">
        <v>1267</v>
      </c>
      <c r="K34">
        <v>7602</v>
      </c>
      <c r="L34" t="s">
        <v>20</v>
      </c>
    </row>
    <row r="35" spans="1:12" x14ac:dyDescent="0.3">
      <c r="A35">
        <v>1034</v>
      </c>
      <c r="B35" s="1">
        <v>45315</v>
      </c>
      <c r="C35">
        <v>16</v>
      </c>
      <c r="D35" t="s">
        <v>43</v>
      </c>
      <c r="E35" t="s">
        <v>17</v>
      </c>
      <c r="F35">
        <v>14</v>
      </c>
      <c r="G35" t="s">
        <v>27</v>
      </c>
      <c r="H35" t="s">
        <v>14</v>
      </c>
      <c r="I35">
        <v>2</v>
      </c>
      <c r="J35">
        <v>204</v>
      </c>
      <c r="K35">
        <v>408</v>
      </c>
      <c r="L35" t="s">
        <v>15</v>
      </c>
    </row>
    <row r="36" spans="1:12" x14ac:dyDescent="0.3">
      <c r="A36">
        <v>1035</v>
      </c>
      <c r="B36" s="1">
        <v>45455</v>
      </c>
      <c r="C36">
        <v>48</v>
      </c>
      <c r="D36" t="s">
        <v>28</v>
      </c>
      <c r="E36" t="s">
        <v>63</v>
      </c>
      <c r="F36">
        <v>2</v>
      </c>
      <c r="G36" t="s">
        <v>49</v>
      </c>
      <c r="H36" t="s">
        <v>19</v>
      </c>
      <c r="I36">
        <v>3</v>
      </c>
      <c r="J36">
        <v>481</v>
      </c>
      <c r="K36">
        <v>1443</v>
      </c>
      <c r="L36" t="s">
        <v>33</v>
      </c>
    </row>
    <row r="37" spans="1:12" x14ac:dyDescent="0.3">
      <c r="A37">
        <v>1036</v>
      </c>
      <c r="B37" s="1">
        <v>45470</v>
      </c>
      <c r="C37">
        <v>10</v>
      </c>
      <c r="D37" t="s">
        <v>64</v>
      </c>
      <c r="E37" t="s">
        <v>17</v>
      </c>
      <c r="F37">
        <v>15</v>
      </c>
      <c r="G37" t="s">
        <v>65</v>
      </c>
      <c r="H37" t="s">
        <v>14</v>
      </c>
      <c r="I37">
        <v>10</v>
      </c>
      <c r="J37">
        <v>976</v>
      </c>
      <c r="K37">
        <v>9760</v>
      </c>
      <c r="L37" t="s">
        <v>20</v>
      </c>
    </row>
    <row r="38" spans="1:12" x14ac:dyDescent="0.3">
      <c r="A38">
        <v>1037</v>
      </c>
      <c r="B38" s="1">
        <v>45436</v>
      </c>
      <c r="C38">
        <v>49</v>
      </c>
      <c r="D38" t="s">
        <v>66</v>
      </c>
      <c r="E38" t="s">
        <v>26</v>
      </c>
      <c r="F38">
        <v>7</v>
      </c>
      <c r="G38" t="s">
        <v>67</v>
      </c>
      <c r="H38" t="s">
        <v>62</v>
      </c>
      <c r="I38">
        <v>3</v>
      </c>
      <c r="J38">
        <v>1625</v>
      </c>
      <c r="K38">
        <v>4875</v>
      </c>
      <c r="L38" t="s">
        <v>20</v>
      </c>
    </row>
    <row r="39" spans="1:12" x14ac:dyDescent="0.3">
      <c r="A39">
        <v>1038</v>
      </c>
      <c r="B39" s="1">
        <v>45414</v>
      </c>
      <c r="C39">
        <v>23</v>
      </c>
      <c r="D39" t="s">
        <v>68</v>
      </c>
      <c r="E39" t="s">
        <v>26</v>
      </c>
      <c r="F39">
        <v>8</v>
      </c>
      <c r="G39" t="s">
        <v>44</v>
      </c>
      <c r="H39" t="s">
        <v>19</v>
      </c>
      <c r="I39">
        <v>4</v>
      </c>
      <c r="J39">
        <v>1924</v>
      </c>
      <c r="K39">
        <v>7696</v>
      </c>
      <c r="L39" t="s">
        <v>33</v>
      </c>
    </row>
    <row r="40" spans="1:12" x14ac:dyDescent="0.3">
      <c r="A40">
        <v>1039</v>
      </c>
      <c r="B40" s="1">
        <v>45435</v>
      </c>
      <c r="C40">
        <v>7</v>
      </c>
      <c r="D40" t="s">
        <v>39</v>
      </c>
      <c r="E40" t="s">
        <v>26</v>
      </c>
      <c r="F40">
        <v>5</v>
      </c>
      <c r="G40" t="s">
        <v>38</v>
      </c>
      <c r="H40" t="s">
        <v>30</v>
      </c>
      <c r="I40">
        <v>1</v>
      </c>
      <c r="J40">
        <v>632</v>
      </c>
      <c r="K40">
        <v>632</v>
      </c>
      <c r="L40" t="s">
        <v>24</v>
      </c>
    </row>
    <row r="41" spans="1:12" x14ac:dyDescent="0.3">
      <c r="A41">
        <v>1040</v>
      </c>
      <c r="B41" s="1">
        <v>45296</v>
      </c>
      <c r="C41">
        <v>22</v>
      </c>
      <c r="D41" t="s">
        <v>69</v>
      </c>
      <c r="E41" t="s">
        <v>22</v>
      </c>
      <c r="F41">
        <v>17</v>
      </c>
      <c r="G41" t="s">
        <v>29</v>
      </c>
      <c r="H41" t="s">
        <v>30</v>
      </c>
      <c r="I41">
        <v>2</v>
      </c>
      <c r="J41">
        <v>1320</v>
      </c>
      <c r="K41">
        <v>2640</v>
      </c>
      <c r="L41" t="s">
        <v>20</v>
      </c>
    </row>
    <row r="42" spans="1:12" x14ac:dyDescent="0.3">
      <c r="A42">
        <v>1041</v>
      </c>
      <c r="B42" s="1">
        <v>45440</v>
      </c>
      <c r="C42">
        <v>6</v>
      </c>
      <c r="D42" t="s">
        <v>70</v>
      </c>
      <c r="E42" t="s">
        <v>26</v>
      </c>
      <c r="F42">
        <v>6</v>
      </c>
      <c r="G42" t="s">
        <v>71</v>
      </c>
      <c r="H42" t="s">
        <v>62</v>
      </c>
      <c r="I42">
        <v>10</v>
      </c>
      <c r="J42">
        <v>1421</v>
      </c>
      <c r="K42">
        <v>14210</v>
      </c>
      <c r="L42" t="s">
        <v>24</v>
      </c>
    </row>
    <row r="43" spans="1:12" x14ac:dyDescent="0.3">
      <c r="A43">
        <v>1042</v>
      </c>
      <c r="B43" s="1">
        <v>45428</v>
      </c>
      <c r="C43">
        <v>15</v>
      </c>
      <c r="D43" t="s">
        <v>72</v>
      </c>
      <c r="E43" t="s">
        <v>26</v>
      </c>
      <c r="F43">
        <v>8</v>
      </c>
      <c r="G43" t="s">
        <v>44</v>
      </c>
      <c r="H43" t="s">
        <v>19</v>
      </c>
      <c r="I43">
        <v>4</v>
      </c>
      <c r="J43">
        <v>1924</v>
      </c>
      <c r="K43">
        <v>7696</v>
      </c>
      <c r="L43" t="s">
        <v>33</v>
      </c>
    </row>
    <row r="44" spans="1:12" x14ac:dyDescent="0.3">
      <c r="A44">
        <v>1043</v>
      </c>
      <c r="B44" s="1">
        <v>45427</v>
      </c>
      <c r="C44">
        <v>44</v>
      </c>
      <c r="D44" t="s">
        <v>73</v>
      </c>
      <c r="E44" t="s">
        <v>17</v>
      </c>
      <c r="F44">
        <v>15</v>
      </c>
      <c r="G44" t="s">
        <v>65</v>
      </c>
      <c r="H44" t="s">
        <v>14</v>
      </c>
      <c r="I44">
        <v>3</v>
      </c>
      <c r="J44">
        <v>976</v>
      </c>
      <c r="K44">
        <v>2928</v>
      </c>
      <c r="L44" t="s">
        <v>24</v>
      </c>
    </row>
    <row r="45" spans="1:12" x14ac:dyDescent="0.3">
      <c r="A45">
        <v>1044</v>
      </c>
      <c r="B45" s="1">
        <v>45381</v>
      </c>
      <c r="C45">
        <v>8</v>
      </c>
      <c r="D45" t="s">
        <v>74</v>
      </c>
      <c r="E45" t="s">
        <v>17</v>
      </c>
      <c r="F45">
        <v>12</v>
      </c>
      <c r="G45" t="s">
        <v>23</v>
      </c>
      <c r="H45" t="s">
        <v>19</v>
      </c>
      <c r="I45">
        <v>10</v>
      </c>
      <c r="J45">
        <v>1539</v>
      </c>
      <c r="K45">
        <v>15390</v>
      </c>
      <c r="L45" t="s">
        <v>20</v>
      </c>
    </row>
    <row r="46" spans="1:12" x14ac:dyDescent="0.3">
      <c r="A46">
        <v>1045</v>
      </c>
      <c r="B46" s="1">
        <v>45454</v>
      </c>
      <c r="C46">
        <v>46</v>
      </c>
      <c r="D46" t="s">
        <v>54</v>
      </c>
      <c r="E46" t="s">
        <v>22</v>
      </c>
      <c r="F46">
        <v>19</v>
      </c>
      <c r="G46" t="s">
        <v>18</v>
      </c>
      <c r="H46" t="s">
        <v>19</v>
      </c>
      <c r="I46">
        <v>2</v>
      </c>
      <c r="J46">
        <v>1563</v>
      </c>
      <c r="K46">
        <v>3126</v>
      </c>
      <c r="L46" t="s">
        <v>24</v>
      </c>
    </row>
    <row r="47" spans="1:12" x14ac:dyDescent="0.3">
      <c r="A47">
        <v>1046</v>
      </c>
      <c r="B47" s="1">
        <v>45357</v>
      </c>
      <c r="C47">
        <v>34</v>
      </c>
      <c r="D47" t="s">
        <v>75</v>
      </c>
      <c r="E47" t="s">
        <v>17</v>
      </c>
      <c r="F47">
        <v>15</v>
      </c>
      <c r="G47" t="s">
        <v>65</v>
      </c>
      <c r="H47" t="s">
        <v>14</v>
      </c>
      <c r="I47">
        <v>5</v>
      </c>
      <c r="J47">
        <v>976</v>
      </c>
      <c r="K47">
        <v>4880</v>
      </c>
      <c r="L47" t="s">
        <v>33</v>
      </c>
    </row>
    <row r="48" spans="1:12" x14ac:dyDescent="0.3">
      <c r="A48">
        <v>1047</v>
      </c>
      <c r="B48" s="1">
        <v>45298</v>
      </c>
      <c r="C48">
        <v>46</v>
      </c>
      <c r="D48" t="s">
        <v>54</v>
      </c>
      <c r="E48" t="s">
        <v>22</v>
      </c>
      <c r="F48">
        <v>13</v>
      </c>
      <c r="G48" t="s">
        <v>36</v>
      </c>
      <c r="H48" t="s">
        <v>19</v>
      </c>
      <c r="I48">
        <v>7</v>
      </c>
      <c r="J48">
        <v>1267</v>
      </c>
      <c r="K48">
        <v>8869</v>
      </c>
      <c r="L48" t="s">
        <v>15</v>
      </c>
    </row>
    <row r="49" spans="1:12" x14ac:dyDescent="0.3">
      <c r="A49">
        <v>1048</v>
      </c>
      <c r="B49" s="1">
        <v>45354</v>
      </c>
      <c r="C49">
        <v>43</v>
      </c>
      <c r="D49" t="s">
        <v>76</v>
      </c>
      <c r="E49" t="s">
        <v>22</v>
      </c>
      <c r="F49">
        <v>9</v>
      </c>
      <c r="G49" t="s">
        <v>13</v>
      </c>
      <c r="H49" t="s">
        <v>14</v>
      </c>
      <c r="I49">
        <v>2</v>
      </c>
      <c r="J49">
        <v>1047</v>
      </c>
      <c r="K49">
        <v>2094</v>
      </c>
      <c r="L49" t="s">
        <v>24</v>
      </c>
    </row>
    <row r="50" spans="1:12" x14ac:dyDescent="0.3">
      <c r="A50">
        <v>1049</v>
      </c>
      <c r="B50" s="1">
        <v>45456</v>
      </c>
      <c r="C50">
        <v>6</v>
      </c>
      <c r="D50" t="s">
        <v>70</v>
      </c>
      <c r="E50" t="s">
        <v>26</v>
      </c>
      <c r="F50">
        <v>11</v>
      </c>
      <c r="G50" t="s">
        <v>77</v>
      </c>
      <c r="H50" t="s">
        <v>14</v>
      </c>
      <c r="I50">
        <v>5</v>
      </c>
      <c r="J50">
        <v>1093</v>
      </c>
      <c r="K50">
        <v>5465</v>
      </c>
      <c r="L50" t="s">
        <v>20</v>
      </c>
    </row>
    <row r="51" spans="1:12" x14ac:dyDescent="0.3">
      <c r="A51">
        <v>1050</v>
      </c>
      <c r="B51" s="1">
        <v>45306</v>
      </c>
      <c r="C51">
        <v>36</v>
      </c>
      <c r="D51" t="s">
        <v>60</v>
      </c>
      <c r="E51" t="s">
        <v>22</v>
      </c>
      <c r="F51">
        <v>4</v>
      </c>
      <c r="G51" t="s">
        <v>52</v>
      </c>
      <c r="H51" t="s">
        <v>14</v>
      </c>
      <c r="I51">
        <v>4</v>
      </c>
      <c r="J51">
        <v>1380</v>
      </c>
      <c r="K51">
        <v>5520</v>
      </c>
      <c r="L51" t="s">
        <v>33</v>
      </c>
    </row>
    <row r="52" spans="1:12" x14ac:dyDescent="0.3">
      <c r="A52">
        <v>1051</v>
      </c>
      <c r="B52" s="1">
        <v>45427</v>
      </c>
      <c r="C52">
        <v>43</v>
      </c>
      <c r="D52" t="s">
        <v>76</v>
      </c>
      <c r="E52" t="s">
        <v>22</v>
      </c>
      <c r="F52">
        <v>16</v>
      </c>
      <c r="G52" t="s">
        <v>55</v>
      </c>
      <c r="H52" t="s">
        <v>30</v>
      </c>
      <c r="I52">
        <v>6</v>
      </c>
      <c r="J52">
        <v>1948</v>
      </c>
      <c r="K52">
        <v>11688</v>
      </c>
      <c r="L52" t="s">
        <v>33</v>
      </c>
    </row>
    <row r="53" spans="1:12" x14ac:dyDescent="0.3">
      <c r="A53">
        <v>1052</v>
      </c>
      <c r="B53" s="1">
        <v>45446</v>
      </c>
      <c r="C53">
        <v>38</v>
      </c>
      <c r="D53" t="s">
        <v>50</v>
      </c>
      <c r="E53" t="s">
        <v>17</v>
      </c>
      <c r="F53">
        <v>11</v>
      </c>
      <c r="G53" t="s">
        <v>77</v>
      </c>
      <c r="H53" t="s">
        <v>14</v>
      </c>
      <c r="I53">
        <v>4</v>
      </c>
      <c r="J53">
        <v>1093</v>
      </c>
      <c r="K53">
        <v>4372</v>
      </c>
      <c r="L53" t="s">
        <v>33</v>
      </c>
    </row>
    <row r="54" spans="1:12" x14ac:dyDescent="0.3">
      <c r="A54">
        <v>1053</v>
      </c>
      <c r="B54" s="1">
        <v>45440</v>
      </c>
      <c r="C54">
        <v>49</v>
      </c>
      <c r="D54" t="s">
        <v>66</v>
      </c>
      <c r="E54" t="s">
        <v>26</v>
      </c>
      <c r="F54">
        <v>12</v>
      </c>
      <c r="G54" t="s">
        <v>23</v>
      </c>
      <c r="H54" t="s">
        <v>19</v>
      </c>
      <c r="I54">
        <v>1</v>
      </c>
      <c r="J54">
        <v>1539</v>
      </c>
      <c r="K54">
        <v>1539</v>
      </c>
      <c r="L54" t="s">
        <v>33</v>
      </c>
    </row>
    <row r="55" spans="1:12" x14ac:dyDescent="0.3">
      <c r="A55">
        <v>1054</v>
      </c>
      <c r="B55" s="1">
        <v>45311</v>
      </c>
      <c r="C55">
        <v>45</v>
      </c>
      <c r="D55" t="s">
        <v>41</v>
      </c>
      <c r="E55" t="s">
        <v>63</v>
      </c>
      <c r="F55">
        <v>2</v>
      </c>
      <c r="G55" t="s">
        <v>49</v>
      </c>
      <c r="H55" t="s">
        <v>19</v>
      </c>
      <c r="I55">
        <v>8</v>
      </c>
      <c r="J55">
        <v>481</v>
      </c>
      <c r="K55">
        <v>3848</v>
      </c>
      <c r="L55" t="s">
        <v>33</v>
      </c>
    </row>
    <row r="56" spans="1:12" x14ac:dyDescent="0.3">
      <c r="A56">
        <v>1055</v>
      </c>
      <c r="B56" s="1">
        <v>45302</v>
      </c>
      <c r="C56">
        <v>8</v>
      </c>
      <c r="D56" t="s">
        <v>74</v>
      </c>
      <c r="E56" t="s">
        <v>17</v>
      </c>
      <c r="F56">
        <v>5</v>
      </c>
      <c r="G56" t="s">
        <v>38</v>
      </c>
      <c r="H56" t="s">
        <v>30</v>
      </c>
      <c r="I56">
        <v>2</v>
      </c>
      <c r="J56">
        <v>632</v>
      </c>
      <c r="K56">
        <v>1264</v>
      </c>
      <c r="L56" t="s">
        <v>24</v>
      </c>
    </row>
    <row r="57" spans="1:12" x14ac:dyDescent="0.3">
      <c r="A57">
        <v>1056</v>
      </c>
      <c r="B57" s="1">
        <v>45390</v>
      </c>
      <c r="C57">
        <v>22</v>
      </c>
      <c r="D57" t="s">
        <v>69</v>
      </c>
      <c r="E57" t="s">
        <v>22</v>
      </c>
      <c r="F57">
        <v>1</v>
      </c>
      <c r="G57" t="s">
        <v>42</v>
      </c>
      <c r="H57" t="s">
        <v>14</v>
      </c>
      <c r="I57">
        <v>5</v>
      </c>
      <c r="J57">
        <v>574</v>
      </c>
      <c r="K57">
        <v>2870</v>
      </c>
      <c r="L57" t="s">
        <v>24</v>
      </c>
    </row>
    <row r="58" spans="1:12" x14ac:dyDescent="0.3">
      <c r="A58">
        <v>1057</v>
      </c>
      <c r="B58" s="1">
        <v>45317</v>
      </c>
      <c r="C58">
        <v>35</v>
      </c>
      <c r="D58" t="s">
        <v>53</v>
      </c>
      <c r="E58" t="s">
        <v>63</v>
      </c>
      <c r="F58">
        <v>16</v>
      </c>
      <c r="G58" t="s">
        <v>55</v>
      </c>
      <c r="H58" t="s">
        <v>30</v>
      </c>
      <c r="I58">
        <v>1</v>
      </c>
      <c r="J58">
        <v>1948</v>
      </c>
      <c r="K58">
        <v>1948</v>
      </c>
      <c r="L58" t="s">
        <v>20</v>
      </c>
    </row>
    <row r="59" spans="1:12" x14ac:dyDescent="0.3">
      <c r="A59">
        <v>1058</v>
      </c>
      <c r="B59" s="1">
        <v>45401</v>
      </c>
      <c r="C59">
        <v>32</v>
      </c>
      <c r="D59" t="s">
        <v>78</v>
      </c>
      <c r="E59" t="s">
        <v>26</v>
      </c>
      <c r="F59">
        <v>15</v>
      </c>
      <c r="G59" t="s">
        <v>65</v>
      </c>
      <c r="H59" t="s">
        <v>14</v>
      </c>
      <c r="I59">
        <v>4</v>
      </c>
      <c r="J59">
        <v>976</v>
      </c>
      <c r="K59">
        <v>3904</v>
      </c>
      <c r="L59" t="s">
        <v>20</v>
      </c>
    </row>
    <row r="60" spans="1:12" x14ac:dyDescent="0.3">
      <c r="A60">
        <v>1059</v>
      </c>
      <c r="B60" s="1">
        <v>45453</v>
      </c>
      <c r="C60">
        <v>6</v>
      </c>
      <c r="D60" t="s">
        <v>70</v>
      </c>
      <c r="E60" t="s">
        <v>26</v>
      </c>
      <c r="F60">
        <v>12</v>
      </c>
      <c r="G60" t="s">
        <v>23</v>
      </c>
      <c r="H60" t="s">
        <v>19</v>
      </c>
      <c r="I60">
        <v>5</v>
      </c>
      <c r="J60">
        <v>1539</v>
      </c>
      <c r="K60">
        <v>7695</v>
      </c>
      <c r="L60" t="s">
        <v>24</v>
      </c>
    </row>
    <row r="61" spans="1:12" x14ac:dyDescent="0.3">
      <c r="A61">
        <v>1060</v>
      </c>
      <c r="B61" s="1">
        <v>45337</v>
      </c>
      <c r="C61">
        <v>26</v>
      </c>
      <c r="D61" t="s">
        <v>46</v>
      </c>
      <c r="E61" t="s">
        <v>63</v>
      </c>
      <c r="F61">
        <v>16</v>
      </c>
      <c r="G61" t="s">
        <v>55</v>
      </c>
      <c r="H61" t="s">
        <v>30</v>
      </c>
      <c r="I61">
        <v>6</v>
      </c>
      <c r="J61">
        <v>1948</v>
      </c>
      <c r="K61">
        <v>11688</v>
      </c>
      <c r="L61" t="s">
        <v>20</v>
      </c>
    </row>
    <row r="62" spans="1:12" x14ac:dyDescent="0.3">
      <c r="A62">
        <v>1061</v>
      </c>
      <c r="B62" s="1">
        <v>45362</v>
      </c>
      <c r="C62">
        <v>23</v>
      </c>
      <c r="D62" t="s">
        <v>68</v>
      </c>
      <c r="E62" t="s">
        <v>26</v>
      </c>
      <c r="F62">
        <v>8</v>
      </c>
      <c r="G62" t="s">
        <v>44</v>
      </c>
      <c r="H62" t="s">
        <v>19</v>
      </c>
      <c r="I62">
        <v>7</v>
      </c>
      <c r="J62">
        <v>1924</v>
      </c>
      <c r="K62">
        <v>13468</v>
      </c>
      <c r="L62" t="s">
        <v>15</v>
      </c>
    </row>
    <row r="63" spans="1:12" x14ac:dyDescent="0.3">
      <c r="A63">
        <v>1062</v>
      </c>
      <c r="B63" s="1">
        <v>45443</v>
      </c>
      <c r="C63">
        <v>33</v>
      </c>
      <c r="D63" t="s">
        <v>79</v>
      </c>
      <c r="E63" t="s">
        <v>17</v>
      </c>
      <c r="F63">
        <v>5</v>
      </c>
      <c r="G63" t="s">
        <v>38</v>
      </c>
      <c r="H63" t="s">
        <v>30</v>
      </c>
      <c r="I63">
        <v>10</v>
      </c>
      <c r="J63">
        <v>632</v>
      </c>
      <c r="K63">
        <v>6320</v>
      </c>
      <c r="L63" t="s">
        <v>15</v>
      </c>
    </row>
    <row r="64" spans="1:12" x14ac:dyDescent="0.3">
      <c r="A64">
        <v>1063</v>
      </c>
      <c r="B64" s="1">
        <v>45473</v>
      </c>
      <c r="C64">
        <v>44</v>
      </c>
      <c r="D64" t="s">
        <v>73</v>
      </c>
      <c r="E64" t="s">
        <v>17</v>
      </c>
      <c r="F64">
        <v>20</v>
      </c>
      <c r="G64" t="s">
        <v>80</v>
      </c>
      <c r="H64" t="s">
        <v>30</v>
      </c>
      <c r="I64">
        <v>5</v>
      </c>
      <c r="J64">
        <v>1558</v>
      </c>
      <c r="K64">
        <v>7790</v>
      </c>
      <c r="L64" t="s">
        <v>24</v>
      </c>
    </row>
    <row r="65" spans="1:12" x14ac:dyDescent="0.3">
      <c r="A65">
        <v>1064</v>
      </c>
      <c r="B65" s="1">
        <v>45469</v>
      </c>
      <c r="C65">
        <v>21</v>
      </c>
      <c r="D65" t="s">
        <v>58</v>
      </c>
      <c r="E65" t="s">
        <v>26</v>
      </c>
      <c r="F65">
        <v>3</v>
      </c>
      <c r="G65" t="s">
        <v>81</v>
      </c>
      <c r="H65" t="s">
        <v>30</v>
      </c>
      <c r="I65">
        <v>10</v>
      </c>
      <c r="J65">
        <v>1214</v>
      </c>
      <c r="K65">
        <v>12140</v>
      </c>
      <c r="L65" t="s">
        <v>20</v>
      </c>
    </row>
    <row r="66" spans="1:12" x14ac:dyDescent="0.3">
      <c r="A66">
        <v>1065</v>
      </c>
      <c r="B66" s="1">
        <v>45415</v>
      </c>
      <c r="C66">
        <v>16</v>
      </c>
      <c r="D66" t="s">
        <v>43</v>
      </c>
      <c r="E66" t="s">
        <v>17</v>
      </c>
      <c r="F66">
        <v>10</v>
      </c>
      <c r="G66" t="s">
        <v>61</v>
      </c>
      <c r="H66" t="s">
        <v>62</v>
      </c>
      <c r="I66">
        <v>3</v>
      </c>
      <c r="J66">
        <v>273</v>
      </c>
      <c r="K66">
        <v>819</v>
      </c>
      <c r="L66" t="s">
        <v>33</v>
      </c>
    </row>
    <row r="67" spans="1:12" x14ac:dyDescent="0.3">
      <c r="A67">
        <v>1066</v>
      </c>
      <c r="B67" s="1">
        <v>45428</v>
      </c>
      <c r="C67">
        <v>28</v>
      </c>
      <c r="D67" t="s">
        <v>51</v>
      </c>
      <c r="E67" t="s">
        <v>17</v>
      </c>
      <c r="F67">
        <v>13</v>
      </c>
      <c r="G67" t="s">
        <v>36</v>
      </c>
      <c r="H67" t="s">
        <v>19</v>
      </c>
      <c r="I67">
        <v>6</v>
      </c>
      <c r="J67">
        <v>1267</v>
      </c>
      <c r="K67">
        <v>7602</v>
      </c>
      <c r="L67" t="s">
        <v>24</v>
      </c>
    </row>
    <row r="68" spans="1:12" x14ac:dyDescent="0.3">
      <c r="A68">
        <v>1067</v>
      </c>
      <c r="B68" s="1">
        <v>45449</v>
      </c>
      <c r="C68">
        <v>38</v>
      </c>
      <c r="D68" t="s">
        <v>50</v>
      </c>
      <c r="E68" t="s">
        <v>17</v>
      </c>
      <c r="F68">
        <v>8</v>
      </c>
      <c r="G68" t="s">
        <v>44</v>
      </c>
      <c r="H68" t="s">
        <v>19</v>
      </c>
      <c r="I68">
        <v>6</v>
      </c>
      <c r="J68">
        <v>1924</v>
      </c>
      <c r="K68">
        <v>11544</v>
      </c>
      <c r="L68" t="s">
        <v>20</v>
      </c>
    </row>
    <row r="69" spans="1:12" x14ac:dyDescent="0.3">
      <c r="A69">
        <v>1068</v>
      </c>
      <c r="B69" s="1">
        <v>45402</v>
      </c>
      <c r="C69">
        <v>38</v>
      </c>
      <c r="D69" t="s">
        <v>50</v>
      </c>
      <c r="E69" t="s">
        <v>17</v>
      </c>
      <c r="F69">
        <v>18</v>
      </c>
      <c r="G69" t="s">
        <v>32</v>
      </c>
      <c r="H69" t="s">
        <v>19</v>
      </c>
      <c r="I69">
        <v>3</v>
      </c>
      <c r="J69">
        <v>1099</v>
      </c>
      <c r="K69">
        <v>3297</v>
      </c>
      <c r="L69" t="s">
        <v>20</v>
      </c>
    </row>
    <row r="70" spans="1:12" x14ac:dyDescent="0.3">
      <c r="A70">
        <v>1069</v>
      </c>
      <c r="B70" s="1">
        <v>45384</v>
      </c>
      <c r="C70">
        <v>39</v>
      </c>
      <c r="D70" t="s">
        <v>37</v>
      </c>
      <c r="E70" t="s">
        <v>63</v>
      </c>
      <c r="F70">
        <v>15</v>
      </c>
      <c r="G70" t="s">
        <v>65</v>
      </c>
      <c r="H70" t="s">
        <v>14</v>
      </c>
      <c r="I70">
        <v>5</v>
      </c>
      <c r="J70">
        <v>976</v>
      </c>
      <c r="K70">
        <v>4880</v>
      </c>
      <c r="L70" t="s">
        <v>20</v>
      </c>
    </row>
    <row r="71" spans="1:12" x14ac:dyDescent="0.3">
      <c r="A71">
        <v>1070</v>
      </c>
      <c r="B71" s="1">
        <v>45366</v>
      </c>
      <c r="C71">
        <v>24</v>
      </c>
      <c r="D71" t="s">
        <v>82</v>
      </c>
      <c r="E71" t="s">
        <v>26</v>
      </c>
      <c r="F71">
        <v>12</v>
      </c>
      <c r="G71" t="s">
        <v>23</v>
      </c>
      <c r="H71" t="s">
        <v>19</v>
      </c>
      <c r="I71">
        <v>6</v>
      </c>
      <c r="J71">
        <v>1539</v>
      </c>
      <c r="K71">
        <v>9234</v>
      </c>
      <c r="L71" t="s">
        <v>33</v>
      </c>
    </row>
    <row r="72" spans="1:12" x14ac:dyDescent="0.3">
      <c r="A72">
        <v>1071</v>
      </c>
      <c r="B72" s="1">
        <v>45326</v>
      </c>
      <c r="C72">
        <v>8</v>
      </c>
      <c r="D72" t="s">
        <v>74</v>
      </c>
      <c r="E72" t="s">
        <v>17</v>
      </c>
      <c r="F72">
        <v>13</v>
      </c>
      <c r="G72" t="s">
        <v>36</v>
      </c>
      <c r="H72" t="s">
        <v>19</v>
      </c>
      <c r="I72">
        <v>10</v>
      </c>
      <c r="J72">
        <v>1267</v>
      </c>
      <c r="K72">
        <v>12670</v>
      </c>
      <c r="L72" t="s">
        <v>33</v>
      </c>
    </row>
    <row r="73" spans="1:12" x14ac:dyDescent="0.3">
      <c r="A73">
        <v>1072</v>
      </c>
      <c r="B73" s="1">
        <v>45318</v>
      </c>
      <c r="C73">
        <v>19</v>
      </c>
      <c r="D73" t="s">
        <v>83</v>
      </c>
      <c r="E73" t="s">
        <v>22</v>
      </c>
      <c r="F73">
        <v>2</v>
      </c>
      <c r="G73" t="s">
        <v>49</v>
      </c>
      <c r="H73" t="s">
        <v>19</v>
      </c>
      <c r="I73">
        <v>1</v>
      </c>
      <c r="J73">
        <v>481</v>
      </c>
      <c r="K73">
        <v>481</v>
      </c>
      <c r="L73" t="s">
        <v>33</v>
      </c>
    </row>
    <row r="74" spans="1:12" x14ac:dyDescent="0.3">
      <c r="A74">
        <v>1073</v>
      </c>
      <c r="B74" s="1">
        <v>45389</v>
      </c>
      <c r="C74">
        <v>47</v>
      </c>
      <c r="D74" t="s">
        <v>84</v>
      </c>
      <c r="E74" t="s">
        <v>26</v>
      </c>
      <c r="F74">
        <v>3</v>
      </c>
      <c r="G74" t="s">
        <v>81</v>
      </c>
      <c r="H74" t="s">
        <v>30</v>
      </c>
      <c r="I74">
        <v>5</v>
      </c>
      <c r="J74">
        <v>1214</v>
      </c>
      <c r="K74">
        <v>6070</v>
      </c>
      <c r="L74" t="s">
        <v>24</v>
      </c>
    </row>
    <row r="75" spans="1:12" x14ac:dyDescent="0.3">
      <c r="A75">
        <v>1074</v>
      </c>
      <c r="B75" s="1">
        <v>45369</v>
      </c>
      <c r="C75">
        <v>26</v>
      </c>
      <c r="D75" t="s">
        <v>46</v>
      </c>
      <c r="E75" t="s">
        <v>63</v>
      </c>
      <c r="F75">
        <v>7</v>
      </c>
      <c r="G75" t="s">
        <v>67</v>
      </c>
      <c r="H75" t="s">
        <v>62</v>
      </c>
      <c r="I75">
        <v>6</v>
      </c>
      <c r="J75">
        <v>1625</v>
      </c>
      <c r="K75">
        <v>9750</v>
      </c>
      <c r="L75" t="s">
        <v>33</v>
      </c>
    </row>
    <row r="76" spans="1:12" x14ac:dyDescent="0.3">
      <c r="A76">
        <v>1075</v>
      </c>
      <c r="B76" s="1">
        <v>45410</v>
      </c>
      <c r="C76">
        <v>23</v>
      </c>
      <c r="D76" t="s">
        <v>68</v>
      </c>
      <c r="E76" t="s">
        <v>26</v>
      </c>
      <c r="F76">
        <v>18</v>
      </c>
      <c r="G76" t="s">
        <v>32</v>
      </c>
      <c r="H76" t="s">
        <v>19</v>
      </c>
      <c r="I76">
        <v>8</v>
      </c>
      <c r="J76">
        <v>1099</v>
      </c>
      <c r="K76">
        <v>8792</v>
      </c>
      <c r="L76" t="s">
        <v>24</v>
      </c>
    </row>
    <row r="77" spans="1:12" x14ac:dyDescent="0.3">
      <c r="A77">
        <v>1076</v>
      </c>
      <c r="B77" s="1">
        <v>45409</v>
      </c>
      <c r="C77">
        <v>49</v>
      </c>
      <c r="D77" t="s">
        <v>66</v>
      </c>
      <c r="E77" t="s">
        <v>26</v>
      </c>
      <c r="F77">
        <v>3</v>
      </c>
      <c r="G77" t="s">
        <v>81</v>
      </c>
      <c r="H77" t="s">
        <v>30</v>
      </c>
      <c r="I77">
        <v>8</v>
      </c>
      <c r="J77">
        <v>1214</v>
      </c>
      <c r="K77">
        <v>9712</v>
      </c>
      <c r="L77" t="s">
        <v>33</v>
      </c>
    </row>
    <row r="78" spans="1:12" x14ac:dyDescent="0.3">
      <c r="A78">
        <v>1077</v>
      </c>
      <c r="B78" s="1">
        <v>45329</v>
      </c>
      <c r="C78">
        <v>40</v>
      </c>
      <c r="D78" t="s">
        <v>25</v>
      </c>
      <c r="E78" t="s">
        <v>26</v>
      </c>
      <c r="F78">
        <v>12</v>
      </c>
      <c r="G78" t="s">
        <v>23</v>
      </c>
      <c r="H78" t="s">
        <v>19</v>
      </c>
      <c r="I78">
        <v>6</v>
      </c>
      <c r="J78">
        <v>1539</v>
      </c>
      <c r="K78">
        <v>9234</v>
      </c>
      <c r="L78" t="s">
        <v>15</v>
      </c>
    </row>
    <row r="79" spans="1:12" x14ac:dyDescent="0.3">
      <c r="A79">
        <v>1078</v>
      </c>
      <c r="B79" s="1">
        <v>45382</v>
      </c>
      <c r="C79">
        <v>8</v>
      </c>
      <c r="D79" t="s">
        <v>74</v>
      </c>
      <c r="E79" t="s">
        <v>17</v>
      </c>
      <c r="F79">
        <v>20</v>
      </c>
      <c r="G79" t="s">
        <v>80</v>
      </c>
      <c r="H79" t="s">
        <v>30</v>
      </c>
      <c r="I79">
        <v>8</v>
      </c>
      <c r="J79">
        <v>1558</v>
      </c>
      <c r="K79">
        <v>12464</v>
      </c>
      <c r="L79" t="s">
        <v>15</v>
      </c>
    </row>
    <row r="80" spans="1:12" x14ac:dyDescent="0.3">
      <c r="A80">
        <v>1079</v>
      </c>
      <c r="B80" s="1">
        <v>45413</v>
      </c>
      <c r="C80">
        <v>19</v>
      </c>
      <c r="D80" t="s">
        <v>83</v>
      </c>
      <c r="E80" t="s">
        <v>22</v>
      </c>
      <c r="F80">
        <v>16</v>
      </c>
      <c r="G80" t="s">
        <v>55</v>
      </c>
      <c r="H80" t="s">
        <v>30</v>
      </c>
      <c r="I80">
        <v>2</v>
      </c>
      <c r="J80">
        <v>1948</v>
      </c>
      <c r="K80">
        <v>3896</v>
      </c>
      <c r="L80" t="s">
        <v>33</v>
      </c>
    </row>
    <row r="81" spans="1:12" x14ac:dyDescent="0.3">
      <c r="A81">
        <v>1080</v>
      </c>
      <c r="B81" s="1">
        <v>45342</v>
      </c>
      <c r="C81">
        <v>15</v>
      </c>
      <c r="D81" t="s">
        <v>72</v>
      </c>
      <c r="E81" t="s">
        <v>26</v>
      </c>
      <c r="F81">
        <v>1</v>
      </c>
      <c r="G81" t="s">
        <v>42</v>
      </c>
      <c r="H81" t="s">
        <v>14</v>
      </c>
      <c r="I81">
        <v>5</v>
      </c>
      <c r="J81">
        <v>574</v>
      </c>
      <c r="K81">
        <v>2870</v>
      </c>
      <c r="L81" t="s">
        <v>33</v>
      </c>
    </row>
    <row r="82" spans="1:12" x14ac:dyDescent="0.3">
      <c r="A82">
        <v>1081</v>
      </c>
      <c r="B82" s="1">
        <v>45448</v>
      </c>
      <c r="C82">
        <v>12</v>
      </c>
      <c r="D82" t="s">
        <v>56</v>
      </c>
      <c r="E82" t="s">
        <v>22</v>
      </c>
      <c r="F82">
        <v>12</v>
      </c>
      <c r="G82" t="s">
        <v>23</v>
      </c>
      <c r="H82" t="s">
        <v>19</v>
      </c>
      <c r="I82">
        <v>1</v>
      </c>
      <c r="J82">
        <v>1539</v>
      </c>
      <c r="K82">
        <v>1539</v>
      </c>
      <c r="L82" t="s">
        <v>33</v>
      </c>
    </row>
    <row r="83" spans="1:12" x14ac:dyDescent="0.3">
      <c r="A83">
        <v>1082</v>
      </c>
      <c r="B83" s="1">
        <v>45462</v>
      </c>
      <c r="C83">
        <v>5</v>
      </c>
      <c r="D83" t="s">
        <v>35</v>
      </c>
      <c r="E83" t="s">
        <v>26</v>
      </c>
      <c r="F83">
        <v>2</v>
      </c>
      <c r="G83" t="s">
        <v>49</v>
      </c>
      <c r="H83" t="s">
        <v>19</v>
      </c>
      <c r="I83">
        <v>1</v>
      </c>
      <c r="J83">
        <v>481</v>
      </c>
      <c r="K83">
        <v>481</v>
      </c>
      <c r="L83" t="s">
        <v>15</v>
      </c>
    </row>
    <row r="84" spans="1:12" x14ac:dyDescent="0.3">
      <c r="A84">
        <v>1083</v>
      </c>
      <c r="B84" s="1">
        <v>45409</v>
      </c>
      <c r="C84">
        <v>1</v>
      </c>
      <c r="D84" t="s">
        <v>47</v>
      </c>
      <c r="E84" t="s">
        <v>22</v>
      </c>
      <c r="F84">
        <v>5</v>
      </c>
      <c r="G84" t="s">
        <v>38</v>
      </c>
      <c r="H84" t="s">
        <v>30</v>
      </c>
      <c r="I84">
        <v>10</v>
      </c>
      <c r="J84">
        <v>632</v>
      </c>
      <c r="K84">
        <v>6320</v>
      </c>
      <c r="L84" t="s">
        <v>20</v>
      </c>
    </row>
    <row r="85" spans="1:12" x14ac:dyDescent="0.3">
      <c r="A85">
        <v>1084</v>
      </c>
      <c r="B85" s="1">
        <v>45335</v>
      </c>
      <c r="C85">
        <v>36</v>
      </c>
      <c r="D85" t="s">
        <v>60</v>
      </c>
      <c r="E85" t="s">
        <v>22</v>
      </c>
      <c r="F85">
        <v>4</v>
      </c>
      <c r="G85" t="s">
        <v>52</v>
      </c>
      <c r="H85" t="s">
        <v>14</v>
      </c>
      <c r="I85">
        <v>5</v>
      </c>
      <c r="J85">
        <v>1380</v>
      </c>
      <c r="K85">
        <v>6900</v>
      </c>
      <c r="L85" t="s">
        <v>33</v>
      </c>
    </row>
    <row r="86" spans="1:12" x14ac:dyDescent="0.3">
      <c r="A86">
        <v>1085</v>
      </c>
      <c r="B86" s="1">
        <v>45370</v>
      </c>
      <c r="C86">
        <v>50</v>
      </c>
      <c r="D86" t="s">
        <v>85</v>
      </c>
      <c r="E86" t="s">
        <v>22</v>
      </c>
      <c r="F86">
        <v>3</v>
      </c>
      <c r="G86" t="s">
        <v>81</v>
      </c>
      <c r="H86" t="s">
        <v>30</v>
      </c>
      <c r="I86">
        <v>6</v>
      </c>
      <c r="J86">
        <v>1214</v>
      </c>
      <c r="K86">
        <v>7284</v>
      </c>
      <c r="L86" t="s">
        <v>33</v>
      </c>
    </row>
    <row r="87" spans="1:12" x14ac:dyDescent="0.3">
      <c r="A87">
        <v>1086</v>
      </c>
      <c r="B87" s="1">
        <v>45376</v>
      </c>
      <c r="C87">
        <v>47</v>
      </c>
      <c r="D87" t="s">
        <v>84</v>
      </c>
      <c r="E87" t="s">
        <v>26</v>
      </c>
      <c r="F87">
        <v>16</v>
      </c>
      <c r="G87" t="s">
        <v>55</v>
      </c>
      <c r="H87" t="s">
        <v>30</v>
      </c>
      <c r="I87">
        <v>5</v>
      </c>
      <c r="J87">
        <v>1948</v>
      </c>
      <c r="K87">
        <v>9740</v>
      </c>
      <c r="L87" t="s">
        <v>33</v>
      </c>
    </row>
    <row r="88" spans="1:12" x14ac:dyDescent="0.3">
      <c r="A88">
        <v>1087</v>
      </c>
      <c r="B88" s="1">
        <v>45338</v>
      </c>
      <c r="C88">
        <v>26</v>
      </c>
      <c r="D88" t="s">
        <v>46</v>
      </c>
      <c r="E88" t="s">
        <v>63</v>
      </c>
      <c r="F88">
        <v>2</v>
      </c>
      <c r="G88" t="s">
        <v>49</v>
      </c>
      <c r="H88" t="s">
        <v>19</v>
      </c>
      <c r="I88">
        <v>2</v>
      </c>
      <c r="J88">
        <v>481</v>
      </c>
      <c r="K88">
        <v>962</v>
      </c>
      <c r="L88" t="s">
        <v>24</v>
      </c>
    </row>
    <row r="89" spans="1:12" x14ac:dyDescent="0.3">
      <c r="A89">
        <v>1088</v>
      </c>
      <c r="B89" s="1">
        <v>45426</v>
      </c>
      <c r="C89">
        <v>2</v>
      </c>
      <c r="D89" t="s">
        <v>12</v>
      </c>
      <c r="E89" t="s">
        <v>63</v>
      </c>
      <c r="F89">
        <v>1</v>
      </c>
      <c r="G89" t="s">
        <v>42</v>
      </c>
      <c r="H89" t="s">
        <v>14</v>
      </c>
      <c r="I89">
        <v>10</v>
      </c>
      <c r="J89">
        <v>574</v>
      </c>
      <c r="K89">
        <v>5740</v>
      </c>
      <c r="L89" t="s">
        <v>24</v>
      </c>
    </row>
    <row r="90" spans="1:12" x14ac:dyDescent="0.3">
      <c r="A90">
        <v>1089</v>
      </c>
      <c r="B90" s="1">
        <v>45424</v>
      </c>
      <c r="C90">
        <v>43</v>
      </c>
      <c r="D90" t="s">
        <v>76</v>
      </c>
      <c r="E90" t="s">
        <v>22</v>
      </c>
      <c r="F90">
        <v>13</v>
      </c>
      <c r="G90" t="s">
        <v>36</v>
      </c>
      <c r="H90" t="s">
        <v>19</v>
      </c>
      <c r="I90">
        <v>10</v>
      </c>
      <c r="J90">
        <v>1267</v>
      </c>
      <c r="K90">
        <v>12670</v>
      </c>
      <c r="L90" t="s">
        <v>20</v>
      </c>
    </row>
    <row r="91" spans="1:12" x14ac:dyDescent="0.3">
      <c r="A91">
        <v>1090</v>
      </c>
      <c r="B91" s="1">
        <v>45419</v>
      </c>
      <c r="C91">
        <v>48</v>
      </c>
      <c r="D91" t="s">
        <v>28</v>
      </c>
      <c r="E91" t="s">
        <v>63</v>
      </c>
      <c r="F91">
        <v>10</v>
      </c>
      <c r="G91" t="s">
        <v>61</v>
      </c>
      <c r="H91" t="s">
        <v>62</v>
      </c>
      <c r="I91">
        <v>4</v>
      </c>
      <c r="J91">
        <v>273</v>
      </c>
      <c r="K91">
        <v>1092</v>
      </c>
      <c r="L91" t="s">
        <v>33</v>
      </c>
    </row>
    <row r="92" spans="1:12" x14ac:dyDescent="0.3">
      <c r="A92">
        <v>1091</v>
      </c>
      <c r="B92" s="1">
        <v>45351</v>
      </c>
      <c r="C92">
        <v>47</v>
      </c>
      <c r="D92" t="s">
        <v>84</v>
      </c>
      <c r="E92" t="s">
        <v>26</v>
      </c>
      <c r="F92">
        <v>9</v>
      </c>
      <c r="G92" t="s">
        <v>13</v>
      </c>
      <c r="H92" t="s">
        <v>14</v>
      </c>
      <c r="I92">
        <v>4</v>
      </c>
      <c r="J92">
        <v>1047</v>
      </c>
      <c r="K92">
        <v>4188</v>
      </c>
      <c r="L92" t="s">
        <v>24</v>
      </c>
    </row>
    <row r="93" spans="1:12" x14ac:dyDescent="0.3">
      <c r="A93">
        <v>1092</v>
      </c>
      <c r="B93" s="1">
        <v>45368</v>
      </c>
      <c r="C93">
        <v>48</v>
      </c>
      <c r="D93" t="s">
        <v>28</v>
      </c>
      <c r="E93" t="s">
        <v>63</v>
      </c>
      <c r="F93">
        <v>6</v>
      </c>
      <c r="G93" t="s">
        <v>71</v>
      </c>
      <c r="H93" t="s">
        <v>62</v>
      </c>
      <c r="I93">
        <v>7</v>
      </c>
      <c r="J93">
        <v>1421</v>
      </c>
      <c r="K93">
        <v>9947</v>
      </c>
      <c r="L93" t="s">
        <v>15</v>
      </c>
    </row>
    <row r="94" spans="1:12" x14ac:dyDescent="0.3">
      <c r="A94">
        <v>1093</v>
      </c>
      <c r="B94" s="1">
        <v>45364</v>
      </c>
      <c r="C94">
        <v>19</v>
      </c>
      <c r="D94" t="s">
        <v>83</v>
      </c>
      <c r="E94" t="s">
        <v>22</v>
      </c>
      <c r="F94">
        <v>17</v>
      </c>
      <c r="G94" t="s">
        <v>29</v>
      </c>
      <c r="H94" t="s">
        <v>30</v>
      </c>
      <c r="I94">
        <v>4</v>
      </c>
      <c r="J94">
        <v>1320</v>
      </c>
      <c r="K94">
        <v>5280</v>
      </c>
      <c r="L94" t="s">
        <v>33</v>
      </c>
    </row>
    <row r="95" spans="1:12" x14ac:dyDescent="0.3">
      <c r="A95">
        <v>1094</v>
      </c>
      <c r="B95" s="1">
        <v>45295</v>
      </c>
      <c r="C95">
        <v>46</v>
      </c>
      <c r="D95" t="s">
        <v>54</v>
      </c>
      <c r="E95" t="s">
        <v>22</v>
      </c>
      <c r="F95">
        <v>19</v>
      </c>
      <c r="G95" t="s">
        <v>18</v>
      </c>
      <c r="H95" t="s">
        <v>19</v>
      </c>
      <c r="I95">
        <v>10</v>
      </c>
      <c r="J95">
        <v>1563</v>
      </c>
      <c r="K95">
        <v>15630</v>
      </c>
      <c r="L95" t="s">
        <v>33</v>
      </c>
    </row>
    <row r="96" spans="1:12" x14ac:dyDescent="0.3">
      <c r="A96">
        <v>1095</v>
      </c>
      <c r="B96" s="1">
        <v>45367</v>
      </c>
      <c r="C96">
        <v>39</v>
      </c>
      <c r="D96" t="s">
        <v>37</v>
      </c>
      <c r="E96" t="s">
        <v>63</v>
      </c>
      <c r="F96">
        <v>1</v>
      </c>
      <c r="G96" t="s">
        <v>42</v>
      </c>
      <c r="H96" t="s">
        <v>14</v>
      </c>
      <c r="I96">
        <v>9</v>
      </c>
      <c r="J96">
        <v>574</v>
      </c>
      <c r="K96">
        <v>5166</v>
      </c>
      <c r="L96" t="s">
        <v>20</v>
      </c>
    </row>
    <row r="97" spans="1:12" x14ac:dyDescent="0.3">
      <c r="A97">
        <v>1096</v>
      </c>
      <c r="B97" s="1">
        <v>45311</v>
      </c>
      <c r="C97">
        <v>19</v>
      </c>
      <c r="D97" t="s">
        <v>83</v>
      </c>
      <c r="E97" t="s">
        <v>22</v>
      </c>
      <c r="F97">
        <v>14</v>
      </c>
      <c r="G97" t="s">
        <v>27</v>
      </c>
      <c r="H97" t="s">
        <v>14</v>
      </c>
      <c r="I97">
        <v>9</v>
      </c>
      <c r="J97">
        <v>204</v>
      </c>
      <c r="K97">
        <v>1836</v>
      </c>
      <c r="L97" t="s">
        <v>20</v>
      </c>
    </row>
    <row r="98" spans="1:12" x14ac:dyDescent="0.3">
      <c r="A98">
        <v>1097</v>
      </c>
      <c r="B98" s="1">
        <v>45469</v>
      </c>
      <c r="C98">
        <v>15</v>
      </c>
      <c r="D98" t="s">
        <v>72</v>
      </c>
      <c r="E98" t="s">
        <v>26</v>
      </c>
      <c r="F98">
        <v>4</v>
      </c>
      <c r="G98" t="s">
        <v>52</v>
      </c>
      <c r="H98" t="s">
        <v>14</v>
      </c>
      <c r="I98">
        <v>2</v>
      </c>
      <c r="J98">
        <v>1380</v>
      </c>
      <c r="K98">
        <v>2760</v>
      </c>
      <c r="L98" t="s">
        <v>24</v>
      </c>
    </row>
    <row r="99" spans="1:12" x14ac:dyDescent="0.3">
      <c r="A99">
        <v>1098</v>
      </c>
      <c r="B99" s="1">
        <v>45367</v>
      </c>
      <c r="C99">
        <v>13</v>
      </c>
      <c r="D99" t="s">
        <v>86</v>
      </c>
      <c r="E99" t="s">
        <v>63</v>
      </c>
      <c r="F99">
        <v>14</v>
      </c>
      <c r="G99" t="s">
        <v>27</v>
      </c>
      <c r="H99" t="s">
        <v>14</v>
      </c>
      <c r="I99">
        <v>2</v>
      </c>
      <c r="J99">
        <v>204</v>
      </c>
      <c r="K99">
        <v>408</v>
      </c>
      <c r="L99" t="s">
        <v>20</v>
      </c>
    </row>
    <row r="100" spans="1:12" x14ac:dyDescent="0.3">
      <c r="A100">
        <v>1099</v>
      </c>
      <c r="B100" s="1">
        <v>45337</v>
      </c>
      <c r="C100">
        <v>44</v>
      </c>
      <c r="D100" t="s">
        <v>73</v>
      </c>
      <c r="E100" t="s">
        <v>17</v>
      </c>
      <c r="F100">
        <v>2</v>
      </c>
      <c r="G100" t="s">
        <v>49</v>
      </c>
      <c r="H100" t="s">
        <v>19</v>
      </c>
      <c r="I100">
        <v>9</v>
      </c>
      <c r="J100">
        <v>481</v>
      </c>
      <c r="K100">
        <v>4329</v>
      </c>
      <c r="L100" t="s">
        <v>15</v>
      </c>
    </row>
    <row r="101" spans="1:12" x14ac:dyDescent="0.3">
      <c r="A101">
        <v>1100</v>
      </c>
      <c r="B101" s="1">
        <v>45332</v>
      </c>
      <c r="C101">
        <v>3</v>
      </c>
      <c r="D101" t="s">
        <v>87</v>
      </c>
      <c r="E101" t="s">
        <v>17</v>
      </c>
      <c r="F101">
        <v>14</v>
      </c>
      <c r="G101" t="s">
        <v>27</v>
      </c>
      <c r="H101" t="s">
        <v>14</v>
      </c>
      <c r="I101">
        <v>4</v>
      </c>
      <c r="J101">
        <v>204</v>
      </c>
      <c r="K101">
        <v>816</v>
      </c>
      <c r="L101" t="s">
        <v>15</v>
      </c>
    </row>
    <row r="102" spans="1:12" x14ac:dyDescent="0.3">
      <c r="A102">
        <v>1101</v>
      </c>
      <c r="B102" s="1">
        <v>45339</v>
      </c>
      <c r="C102">
        <v>39</v>
      </c>
      <c r="D102" t="s">
        <v>37</v>
      </c>
      <c r="E102" t="s">
        <v>63</v>
      </c>
      <c r="F102">
        <v>8</v>
      </c>
      <c r="G102" t="s">
        <v>44</v>
      </c>
      <c r="H102" t="s">
        <v>19</v>
      </c>
      <c r="I102">
        <v>2</v>
      </c>
      <c r="J102">
        <v>1924</v>
      </c>
      <c r="K102">
        <v>3848</v>
      </c>
      <c r="L102" t="s">
        <v>24</v>
      </c>
    </row>
    <row r="103" spans="1:12" x14ac:dyDescent="0.3">
      <c r="A103">
        <v>1102</v>
      </c>
      <c r="B103" s="1">
        <v>45353</v>
      </c>
      <c r="C103">
        <v>23</v>
      </c>
      <c r="D103" t="s">
        <v>68</v>
      </c>
      <c r="E103" t="s">
        <v>26</v>
      </c>
      <c r="F103">
        <v>8</v>
      </c>
      <c r="G103" t="s">
        <v>44</v>
      </c>
      <c r="H103" t="s">
        <v>19</v>
      </c>
      <c r="I103">
        <v>8</v>
      </c>
      <c r="J103">
        <v>1924</v>
      </c>
      <c r="K103">
        <v>15392</v>
      </c>
      <c r="L103" t="s">
        <v>15</v>
      </c>
    </row>
    <row r="104" spans="1:12" x14ac:dyDescent="0.3">
      <c r="A104">
        <v>1103</v>
      </c>
      <c r="B104" s="1">
        <v>45424</v>
      </c>
      <c r="C104">
        <v>26</v>
      </c>
      <c r="D104" t="s">
        <v>46</v>
      </c>
      <c r="E104" t="s">
        <v>63</v>
      </c>
      <c r="F104">
        <v>17</v>
      </c>
      <c r="G104" t="s">
        <v>29</v>
      </c>
      <c r="H104" t="s">
        <v>30</v>
      </c>
      <c r="I104">
        <v>7</v>
      </c>
      <c r="J104">
        <v>1320</v>
      </c>
      <c r="K104">
        <v>9240</v>
      </c>
      <c r="L104" t="s">
        <v>24</v>
      </c>
    </row>
    <row r="105" spans="1:12" x14ac:dyDescent="0.3">
      <c r="A105">
        <v>1104</v>
      </c>
      <c r="B105" s="1">
        <v>45331</v>
      </c>
      <c r="C105">
        <v>17</v>
      </c>
      <c r="D105" t="s">
        <v>45</v>
      </c>
      <c r="E105" t="s">
        <v>26</v>
      </c>
      <c r="F105">
        <v>19</v>
      </c>
      <c r="G105" t="s">
        <v>18</v>
      </c>
      <c r="H105" t="s">
        <v>19</v>
      </c>
      <c r="I105">
        <v>5</v>
      </c>
      <c r="J105">
        <v>1563</v>
      </c>
      <c r="K105">
        <v>7815</v>
      </c>
      <c r="L105" t="s">
        <v>33</v>
      </c>
    </row>
    <row r="106" spans="1:12" x14ac:dyDescent="0.3">
      <c r="A106">
        <v>1105</v>
      </c>
      <c r="B106" s="1">
        <v>45390</v>
      </c>
      <c r="C106">
        <v>44</v>
      </c>
      <c r="D106" t="s">
        <v>73</v>
      </c>
      <c r="E106" t="s">
        <v>17</v>
      </c>
      <c r="F106">
        <v>2</v>
      </c>
      <c r="G106" t="s">
        <v>49</v>
      </c>
      <c r="H106" t="s">
        <v>19</v>
      </c>
      <c r="I106">
        <v>9</v>
      </c>
      <c r="J106">
        <v>481</v>
      </c>
      <c r="K106">
        <v>4329</v>
      </c>
      <c r="L106" t="s">
        <v>20</v>
      </c>
    </row>
    <row r="107" spans="1:12" x14ac:dyDescent="0.3">
      <c r="A107">
        <v>1106</v>
      </c>
      <c r="B107" s="1">
        <v>45319</v>
      </c>
      <c r="C107">
        <v>5</v>
      </c>
      <c r="D107" t="s">
        <v>35</v>
      </c>
      <c r="E107" t="s">
        <v>26</v>
      </c>
      <c r="F107">
        <v>4</v>
      </c>
      <c r="G107" t="s">
        <v>52</v>
      </c>
      <c r="H107" t="s">
        <v>14</v>
      </c>
      <c r="I107">
        <v>1</v>
      </c>
      <c r="J107">
        <v>1380</v>
      </c>
      <c r="K107">
        <v>1380</v>
      </c>
      <c r="L107" t="s">
        <v>24</v>
      </c>
    </row>
    <row r="108" spans="1:12" x14ac:dyDescent="0.3">
      <c r="A108">
        <v>1107</v>
      </c>
      <c r="B108" s="1">
        <v>45389</v>
      </c>
      <c r="C108">
        <v>25</v>
      </c>
      <c r="D108" t="s">
        <v>31</v>
      </c>
      <c r="E108" t="s">
        <v>63</v>
      </c>
      <c r="F108">
        <v>19</v>
      </c>
      <c r="G108" t="s">
        <v>18</v>
      </c>
      <c r="H108" t="s">
        <v>19</v>
      </c>
      <c r="I108">
        <v>7</v>
      </c>
      <c r="J108">
        <v>1563</v>
      </c>
      <c r="K108">
        <v>10941</v>
      </c>
      <c r="L108" t="s">
        <v>24</v>
      </c>
    </row>
    <row r="109" spans="1:12" x14ac:dyDescent="0.3">
      <c r="A109">
        <v>1108</v>
      </c>
      <c r="B109" s="1">
        <v>45352</v>
      </c>
      <c r="C109">
        <v>43</v>
      </c>
      <c r="D109" t="s">
        <v>76</v>
      </c>
      <c r="E109" t="s">
        <v>22</v>
      </c>
      <c r="F109">
        <v>1</v>
      </c>
      <c r="G109" t="s">
        <v>42</v>
      </c>
      <c r="H109" t="s">
        <v>14</v>
      </c>
      <c r="I109">
        <v>5</v>
      </c>
      <c r="J109">
        <v>574</v>
      </c>
      <c r="K109">
        <v>2870</v>
      </c>
      <c r="L109" t="s">
        <v>20</v>
      </c>
    </row>
    <row r="110" spans="1:12" x14ac:dyDescent="0.3">
      <c r="A110">
        <v>1109</v>
      </c>
      <c r="B110" s="1">
        <v>45314</v>
      </c>
      <c r="C110">
        <v>50</v>
      </c>
      <c r="D110" t="s">
        <v>85</v>
      </c>
      <c r="E110" t="s">
        <v>22</v>
      </c>
      <c r="F110">
        <v>16</v>
      </c>
      <c r="G110" t="s">
        <v>55</v>
      </c>
      <c r="H110" t="s">
        <v>30</v>
      </c>
      <c r="I110">
        <v>1</v>
      </c>
      <c r="J110">
        <v>1948</v>
      </c>
      <c r="K110">
        <v>1948</v>
      </c>
      <c r="L110" t="s">
        <v>24</v>
      </c>
    </row>
    <row r="111" spans="1:12" x14ac:dyDescent="0.3">
      <c r="A111">
        <v>1110</v>
      </c>
      <c r="B111" s="1">
        <v>45412</v>
      </c>
      <c r="C111">
        <v>27</v>
      </c>
      <c r="D111" t="s">
        <v>59</v>
      </c>
      <c r="E111" t="s">
        <v>26</v>
      </c>
      <c r="F111">
        <v>10</v>
      </c>
      <c r="G111" t="s">
        <v>61</v>
      </c>
      <c r="H111" t="s">
        <v>62</v>
      </c>
      <c r="I111">
        <v>8</v>
      </c>
      <c r="J111">
        <v>273</v>
      </c>
      <c r="K111">
        <v>2184</v>
      </c>
      <c r="L111" t="s">
        <v>20</v>
      </c>
    </row>
    <row r="112" spans="1:12" x14ac:dyDescent="0.3">
      <c r="A112">
        <v>1111</v>
      </c>
      <c r="B112" s="1">
        <v>45409</v>
      </c>
      <c r="C112">
        <v>19</v>
      </c>
      <c r="D112" t="s">
        <v>83</v>
      </c>
      <c r="E112" t="s">
        <v>22</v>
      </c>
      <c r="F112">
        <v>13</v>
      </c>
      <c r="G112" t="s">
        <v>36</v>
      </c>
      <c r="H112" t="s">
        <v>19</v>
      </c>
      <c r="I112">
        <v>10</v>
      </c>
      <c r="J112">
        <v>1267</v>
      </c>
      <c r="K112">
        <v>12670</v>
      </c>
      <c r="L112" t="s">
        <v>15</v>
      </c>
    </row>
    <row r="113" spans="1:12" x14ac:dyDescent="0.3">
      <c r="A113">
        <v>1112</v>
      </c>
      <c r="B113" s="1">
        <v>45312</v>
      </c>
      <c r="C113">
        <v>10</v>
      </c>
      <c r="D113" t="s">
        <v>64</v>
      </c>
      <c r="E113" t="s">
        <v>17</v>
      </c>
      <c r="F113">
        <v>14</v>
      </c>
      <c r="G113" t="s">
        <v>27</v>
      </c>
      <c r="H113" t="s">
        <v>14</v>
      </c>
      <c r="I113">
        <v>9</v>
      </c>
      <c r="J113">
        <v>204</v>
      </c>
      <c r="K113">
        <v>1836</v>
      </c>
      <c r="L113" t="s">
        <v>15</v>
      </c>
    </row>
    <row r="114" spans="1:12" x14ac:dyDescent="0.3">
      <c r="A114">
        <v>1113</v>
      </c>
      <c r="B114" s="1">
        <v>45379</v>
      </c>
      <c r="C114">
        <v>44</v>
      </c>
      <c r="D114" t="s">
        <v>73</v>
      </c>
      <c r="E114" t="s">
        <v>17</v>
      </c>
      <c r="F114">
        <v>8</v>
      </c>
      <c r="G114" t="s">
        <v>44</v>
      </c>
      <c r="H114" t="s">
        <v>19</v>
      </c>
      <c r="I114">
        <v>8</v>
      </c>
      <c r="J114">
        <v>1924</v>
      </c>
      <c r="K114">
        <v>15392</v>
      </c>
      <c r="L114" t="s">
        <v>33</v>
      </c>
    </row>
    <row r="115" spans="1:12" x14ac:dyDescent="0.3">
      <c r="A115">
        <v>1114</v>
      </c>
      <c r="B115" s="1">
        <v>45430</v>
      </c>
      <c r="C115">
        <v>21</v>
      </c>
      <c r="D115" t="s">
        <v>58</v>
      </c>
      <c r="E115" t="s">
        <v>26</v>
      </c>
      <c r="F115">
        <v>3</v>
      </c>
      <c r="G115" t="s">
        <v>81</v>
      </c>
      <c r="H115" t="s">
        <v>30</v>
      </c>
      <c r="I115">
        <v>2</v>
      </c>
      <c r="J115">
        <v>1214</v>
      </c>
      <c r="K115">
        <v>2428</v>
      </c>
      <c r="L115" t="s">
        <v>20</v>
      </c>
    </row>
    <row r="116" spans="1:12" x14ac:dyDescent="0.3">
      <c r="A116">
        <v>1115</v>
      </c>
      <c r="B116" s="1">
        <v>45426</v>
      </c>
      <c r="C116">
        <v>33</v>
      </c>
      <c r="D116" t="s">
        <v>79</v>
      </c>
      <c r="E116" t="s">
        <v>17</v>
      </c>
      <c r="F116">
        <v>12</v>
      </c>
      <c r="G116" t="s">
        <v>23</v>
      </c>
      <c r="H116" t="s">
        <v>19</v>
      </c>
      <c r="I116">
        <v>7</v>
      </c>
      <c r="J116">
        <v>1539</v>
      </c>
      <c r="K116">
        <v>10773</v>
      </c>
      <c r="L116" t="s">
        <v>20</v>
      </c>
    </row>
    <row r="117" spans="1:12" x14ac:dyDescent="0.3">
      <c r="A117">
        <v>1116</v>
      </c>
      <c r="B117" s="1">
        <v>45326</v>
      </c>
      <c r="C117">
        <v>1</v>
      </c>
      <c r="D117" t="s">
        <v>47</v>
      </c>
      <c r="E117" t="s">
        <v>22</v>
      </c>
      <c r="F117">
        <v>9</v>
      </c>
      <c r="G117" t="s">
        <v>13</v>
      </c>
      <c r="H117" t="s">
        <v>14</v>
      </c>
      <c r="I117">
        <v>9</v>
      </c>
      <c r="J117">
        <v>1047</v>
      </c>
      <c r="K117">
        <v>9423</v>
      </c>
      <c r="L117" t="s">
        <v>24</v>
      </c>
    </row>
    <row r="118" spans="1:12" x14ac:dyDescent="0.3">
      <c r="A118">
        <v>1117</v>
      </c>
      <c r="B118" s="1">
        <v>45416</v>
      </c>
      <c r="C118">
        <v>24</v>
      </c>
      <c r="D118" t="s">
        <v>82</v>
      </c>
      <c r="E118" t="s">
        <v>26</v>
      </c>
      <c r="F118">
        <v>7</v>
      </c>
      <c r="G118" t="s">
        <v>67</v>
      </c>
      <c r="H118" t="s">
        <v>62</v>
      </c>
      <c r="I118">
        <v>3</v>
      </c>
      <c r="J118">
        <v>1625</v>
      </c>
      <c r="K118">
        <v>4875</v>
      </c>
      <c r="L118" t="s">
        <v>15</v>
      </c>
    </row>
    <row r="119" spans="1:12" x14ac:dyDescent="0.3">
      <c r="A119">
        <v>1118</v>
      </c>
      <c r="B119" s="1">
        <v>45455</v>
      </c>
      <c r="C119">
        <v>38</v>
      </c>
      <c r="D119" t="s">
        <v>50</v>
      </c>
      <c r="E119" t="s">
        <v>17</v>
      </c>
      <c r="F119">
        <v>1</v>
      </c>
      <c r="G119" t="s">
        <v>42</v>
      </c>
      <c r="H119" t="s">
        <v>14</v>
      </c>
      <c r="I119">
        <v>3</v>
      </c>
      <c r="J119">
        <v>574</v>
      </c>
      <c r="K119">
        <v>1722</v>
      </c>
      <c r="L119" t="s">
        <v>24</v>
      </c>
    </row>
    <row r="120" spans="1:12" x14ac:dyDescent="0.3">
      <c r="A120">
        <v>1119</v>
      </c>
      <c r="B120" s="1">
        <v>45337</v>
      </c>
      <c r="C120">
        <v>23</v>
      </c>
      <c r="D120" t="s">
        <v>68</v>
      </c>
      <c r="E120" t="s">
        <v>26</v>
      </c>
      <c r="F120">
        <v>8</v>
      </c>
      <c r="G120" t="s">
        <v>44</v>
      </c>
      <c r="H120" t="s">
        <v>19</v>
      </c>
      <c r="I120">
        <v>2</v>
      </c>
      <c r="J120">
        <v>1924</v>
      </c>
      <c r="K120">
        <v>3848</v>
      </c>
      <c r="L120" t="s">
        <v>33</v>
      </c>
    </row>
    <row r="121" spans="1:12" x14ac:dyDescent="0.3">
      <c r="A121">
        <v>1120</v>
      </c>
      <c r="B121" s="1">
        <v>45353</v>
      </c>
      <c r="C121">
        <v>29</v>
      </c>
      <c r="D121" t="s">
        <v>40</v>
      </c>
      <c r="E121" t="s">
        <v>26</v>
      </c>
      <c r="F121">
        <v>10</v>
      </c>
      <c r="G121" t="s">
        <v>61</v>
      </c>
      <c r="H121" t="s">
        <v>62</v>
      </c>
      <c r="I121">
        <v>10</v>
      </c>
      <c r="J121">
        <v>273</v>
      </c>
      <c r="K121">
        <v>2730</v>
      </c>
      <c r="L121" t="s">
        <v>15</v>
      </c>
    </row>
    <row r="122" spans="1:12" x14ac:dyDescent="0.3">
      <c r="A122">
        <v>1121</v>
      </c>
      <c r="B122" s="1">
        <v>45358</v>
      </c>
      <c r="C122">
        <v>45</v>
      </c>
      <c r="D122" t="s">
        <v>41</v>
      </c>
      <c r="E122" t="s">
        <v>63</v>
      </c>
      <c r="F122">
        <v>17</v>
      </c>
      <c r="G122" t="s">
        <v>29</v>
      </c>
      <c r="H122" t="s">
        <v>30</v>
      </c>
      <c r="I122">
        <v>10</v>
      </c>
      <c r="J122">
        <v>1320</v>
      </c>
      <c r="K122">
        <v>13200</v>
      </c>
      <c r="L122" t="s">
        <v>15</v>
      </c>
    </row>
    <row r="123" spans="1:12" x14ac:dyDescent="0.3">
      <c r="A123">
        <v>1122</v>
      </c>
      <c r="B123" s="1">
        <v>45438</v>
      </c>
      <c r="C123">
        <v>43</v>
      </c>
      <c r="D123" t="s">
        <v>76</v>
      </c>
      <c r="E123" t="s">
        <v>22</v>
      </c>
      <c r="F123">
        <v>16</v>
      </c>
      <c r="G123" t="s">
        <v>55</v>
      </c>
      <c r="H123" t="s">
        <v>30</v>
      </c>
      <c r="I123">
        <v>3</v>
      </c>
      <c r="J123">
        <v>1948</v>
      </c>
      <c r="K123">
        <v>5844</v>
      </c>
      <c r="L123" t="s">
        <v>33</v>
      </c>
    </row>
    <row r="124" spans="1:12" x14ac:dyDescent="0.3">
      <c r="A124">
        <v>1123</v>
      </c>
      <c r="B124" s="1">
        <v>45327</v>
      </c>
      <c r="C124">
        <v>50</v>
      </c>
      <c r="D124" t="s">
        <v>85</v>
      </c>
      <c r="E124" t="s">
        <v>22</v>
      </c>
      <c r="F124">
        <v>15</v>
      </c>
      <c r="G124" t="s">
        <v>65</v>
      </c>
      <c r="H124" t="s">
        <v>14</v>
      </c>
      <c r="I124">
        <v>10</v>
      </c>
      <c r="J124">
        <v>976</v>
      </c>
      <c r="K124">
        <v>9760</v>
      </c>
      <c r="L124" t="s">
        <v>15</v>
      </c>
    </row>
    <row r="125" spans="1:12" x14ac:dyDescent="0.3">
      <c r="A125">
        <v>1124</v>
      </c>
      <c r="B125" s="1">
        <v>45391</v>
      </c>
      <c r="C125">
        <v>47</v>
      </c>
      <c r="D125" t="s">
        <v>84</v>
      </c>
      <c r="E125" t="s">
        <v>26</v>
      </c>
      <c r="F125">
        <v>4</v>
      </c>
      <c r="G125" t="s">
        <v>52</v>
      </c>
      <c r="H125" t="s">
        <v>14</v>
      </c>
      <c r="I125">
        <v>1</v>
      </c>
      <c r="J125">
        <v>1380</v>
      </c>
      <c r="K125">
        <v>1380</v>
      </c>
      <c r="L125" t="s">
        <v>20</v>
      </c>
    </row>
    <row r="126" spans="1:12" x14ac:dyDescent="0.3">
      <c r="A126">
        <v>1125</v>
      </c>
      <c r="B126" s="1">
        <v>45409</v>
      </c>
      <c r="C126">
        <v>39</v>
      </c>
      <c r="D126" t="s">
        <v>37</v>
      </c>
      <c r="E126" t="s">
        <v>63</v>
      </c>
      <c r="F126">
        <v>16</v>
      </c>
      <c r="G126" t="s">
        <v>55</v>
      </c>
      <c r="H126" t="s">
        <v>30</v>
      </c>
      <c r="I126">
        <v>5</v>
      </c>
      <c r="J126">
        <v>1948</v>
      </c>
      <c r="K126">
        <v>9740</v>
      </c>
      <c r="L126" t="s">
        <v>20</v>
      </c>
    </row>
    <row r="127" spans="1:12" x14ac:dyDescent="0.3">
      <c r="A127">
        <v>1126</v>
      </c>
      <c r="B127" s="1">
        <v>45464</v>
      </c>
      <c r="C127">
        <v>3</v>
      </c>
      <c r="D127" t="s">
        <v>87</v>
      </c>
      <c r="E127" t="s">
        <v>17</v>
      </c>
      <c r="F127">
        <v>17</v>
      </c>
      <c r="G127" t="s">
        <v>29</v>
      </c>
      <c r="H127" t="s">
        <v>30</v>
      </c>
      <c r="I127">
        <v>8</v>
      </c>
      <c r="J127">
        <v>1320</v>
      </c>
      <c r="K127">
        <v>10560</v>
      </c>
      <c r="L127" t="s">
        <v>15</v>
      </c>
    </row>
    <row r="128" spans="1:12" x14ac:dyDescent="0.3">
      <c r="A128">
        <v>1127</v>
      </c>
      <c r="B128" s="1">
        <v>45355</v>
      </c>
      <c r="C128">
        <v>46</v>
      </c>
      <c r="D128" t="s">
        <v>54</v>
      </c>
      <c r="E128" t="s">
        <v>22</v>
      </c>
      <c r="F128">
        <v>5</v>
      </c>
      <c r="G128" t="s">
        <v>38</v>
      </c>
      <c r="H128" t="s">
        <v>30</v>
      </c>
      <c r="I128">
        <v>5</v>
      </c>
      <c r="J128">
        <v>632</v>
      </c>
      <c r="K128">
        <v>3160</v>
      </c>
      <c r="L128" t="s">
        <v>15</v>
      </c>
    </row>
    <row r="129" spans="1:12" x14ac:dyDescent="0.3">
      <c r="A129">
        <v>1128</v>
      </c>
      <c r="B129" s="1">
        <v>45301</v>
      </c>
      <c r="C129">
        <v>29</v>
      </c>
      <c r="D129" t="s">
        <v>40</v>
      </c>
      <c r="E129" t="s">
        <v>26</v>
      </c>
      <c r="F129">
        <v>9</v>
      </c>
      <c r="G129" t="s">
        <v>13</v>
      </c>
      <c r="H129" t="s">
        <v>14</v>
      </c>
      <c r="I129">
        <v>7</v>
      </c>
      <c r="J129">
        <v>1047</v>
      </c>
      <c r="K129">
        <v>7329</v>
      </c>
      <c r="L129" t="s">
        <v>24</v>
      </c>
    </row>
    <row r="130" spans="1:12" x14ac:dyDescent="0.3">
      <c r="A130">
        <v>1129</v>
      </c>
      <c r="B130" s="1">
        <v>45302</v>
      </c>
      <c r="C130">
        <v>16</v>
      </c>
      <c r="D130" t="s">
        <v>43</v>
      </c>
      <c r="E130" t="s">
        <v>17</v>
      </c>
      <c r="F130">
        <v>14</v>
      </c>
      <c r="G130" t="s">
        <v>27</v>
      </c>
      <c r="H130" t="s">
        <v>14</v>
      </c>
      <c r="I130">
        <v>7</v>
      </c>
      <c r="J130">
        <v>204</v>
      </c>
      <c r="K130">
        <v>1428</v>
      </c>
      <c r="L130" t="s">
        <v>33</v>
      </c>
    </row>
    <row r="131" spans="1:12" x14ac:dyDescent="0.3">
      <c r="A131">
        <v>1130</v>
      </c>
      <c r="B131" s="1">
        <v>45384</v>
      </c>
      <c r="C131">
        <v>14</v>
      </c>
      <c r="D131" t="s">
        <v>88</v>
      </c>
      <c r="E131" t="s">
        <v>22</v>
      </c>
      <c r="F131">
        <v>15</v>
      </c>
      <c r="G131" t="s">
        <v>65</v>
      </c>
      <c r="H131" t="s">
        <v>14</v>
      </c>
      <c r="I131">
        <v>5</v>
      </c>
      <c r="J131">
        <v>976</v>
      </c>
      <c r="K131">
        <v>4880</v>
      </c>
      <c r="L131" t="s">
        <v>24</v>
      </c>
    </row>
    <row r="132" spans="1:12" x14ac:dyDescent="0.3">
      <c r="A132">
        <v>1131</v>
      </c>
      <c r="B132" s="1">
        <v>45434</v>
      </c>
      <c r="C132">
        <v>11</v>
      </c>
      <c r="D132" t="s">
        <v>89</v>
      </c>
      <c r="E132" t="s">
        <v>26</v>
      </c>
      <c r="F132">
        <v>1</v>
      </c>
      <c r="G132" t="s">
        <v>42</v>
      </c>
      <c r="H132" t="s">
        <v>14</v>
      </c>
      <c r="I132">
        <v>9</v>
      </c>
      <c r="J132">
        <v>574</v>
      </c>
      <c r="K132">
        <v>5166</v>
      </c>
      <c r="L132" t="s">
        <v>33</v>
      </c>
    </row>
    <row r="133" spans="1:12" x14ac:dyDescent="0.3">
      <c r="A133">
        <v>1132</v>
      </c>
      <c r="B133" s="1">
        <v>45448</v>
      </c>
      <c r="C133">
        <v>48</v>
      </c>
      <c r="D133" t="s">
        <v>28</v>
      </c>
      <c r="E133" t="s">
        <v>63</v>
      </c>
      <c r="F133">
        <v>8</v>
      </c>
      <c r="G133" t="s">
        <v>44</v>
      </c>
      <c r="H133" t="s">
        <v>19</v>
      </c>
      <c r="I133">
        <v>6</v>
      </c>
      <c r="J133">
        <v>1924</v>
      </c>
      <c r="K133">
        <v>11544</v>
      </c>
      <c r="L133" t="s">
        <v>33</v>
      </c>
    </row>
    <row r="134" spans="1:12" x14ac:dyDescent="0.3">
      <c r="A134">
        <v>1133</v>
      </c>
      <c r="B134" s="1">
        <v>45449</v>
      </c>
      <c r="C134">
        <v>32</v>
      </c>
      <c r="D134" t="s">
        <v>78</v>
      </c>
      <c r="E134" t="s">
        <v>26</v>
      </c>
      <c r="F134">
        <v>15</v>
      </c>
      <c r="G134" t="s">
        <v>65</v>
      </c>
      <c r="H134" t="s">
        <v>14</v>
      </c>
      <c r="I134">
        <v>1</v>
      </c>
      <c r="J134">
        <v>976</v>
      </c>
      <c r="K134">
        <v>976</v>
      </c>
      <c r="L134" t="s">
        <v>15</v>
      </c>
    </row>
    <row r="135" spans="1:12" x14ac:dyDescent="0.3">
      <c r="A135">
        <v>1134</v>
      </c>
      <c r="B135" s="1">
        <v>45344</v>
      </c>
      <c r="C135">
        <v>30</v>
      </c>
      <c r="D135" t="s">
        <v>34</v>
      </c>
      <c r="E135" t="s">
        <v>26</v>
      </c>
      <c r="F135">
        <v>5</v>
      </c>
      <c r="G135" t="s">
        <v>38</v>
      </c>
      <c r="H135" t="s">
        <v>30</v>
      </c>
      <c r="I135">
        <v>4</v>
      </c>
      <c r="J135">
        <v>632</v>
      </c>
      <c r="K135">
        <v>2528</v>
      </c>
      <c r="L135" t="s">
        <v>33</v>
      </c>
    </row>
    <row r="136" spans="1:12" x14ac:dyDescent="0.3">
      <c r="A136">
        <v>1135</v>
      </c>
      <c r="B136" s="1">
        <v>45422</v>
      </c>
      <c r="C136">
        <v>40</v>
      </c>
      <c r="D136" t="s">
        <v>25</v>
      </c>
      <c r="E136" t="s">
        <v>26</v>
      </c>
      <c r="F136">
        <v>2</v>
      </c>
      <c r="G136" t="s">
        <v>49</v>
      </c>
      <c r="H136" t="s">
        <v>19</v>
      </c>
      <c r="I136">
        <v>4</v>
      </c>
      <c r="J136">
        <v>481</v>
      </c>
      <c r="K136">
        <v>1924</v>
      </c>
      <c r="L136" t="s">
        <v>33</v>
      </c>
    </row>
    <row r="137" spans="1:12" x14ac:dyDescent="0.3">
      <c r="A137">
        <v>1136</v>
      </c>
      <c r="B137" s="1">
        <v>45365</v>
      </c>
      <c r="C137">
        <v>24</v>
      </c>
      <c r="D137" t="s">
        <v>82</v>
      </c>
      <c r="E137" t="s">
        <v>26</v>
      </c>
      <c r="F137">
        <v>12</v>
      </c>
      <c r="G137" t="s">
        <v>23</v>
      </c>
      <c r="H137" t="s">
        <v>19</v>
      </c>
      <c r="I137">
        <v>7</v>
      </c>
      <c r="J137">
        <v>1539</v>
      </c>
      <c r="K137">
        <v>10773</v>
      </c>
      <c r="L137" t="s">
        <v>33</v>
      </c>
    </row>
    <row r="138" spans="1:12" x14ac:dyDescent="0.3">
      <c r="A138">
        <v>1137</v>
      </c>
      <c r="B138" s="1">
        <v>45441</v>
      </c>
      <c r="C138">
        <v>32</v>
      </c>
      <c r="D138" t="s">
        <v>78</v>
      </c>
      <c r="E138" t="s">
        <v>26</v>
      </c>
      <c r="F138">
        <v>16</v>
      </c>
      <c r="G138" t="s">
        <v>55</v>
      </c>
      <c r="H138" t="s">
        <v>30</v>
      </c>
      <c r="I138">
        <v>10</v>
      </c>
      <c r="J138">
        <v>1948</v>
      </c>
      <c r="K138">
        <v>19480</v>
      </c>
      <c r="L138" t="s">
        <v>24</v>
      </c>
    </row>
    <row r="139" spans="1:12" x14ac:dyDescent="0.3">
      <c r="A139">
        <v>1138</v>
      </c>
      <c r="B139" s="1">
        <v>45324</v>
      </c>
      <c r="C139">
        <v>38</v>
      </c>
      <c r="D139" t="s">
        <v>50</v>
      </c>
      <c r="E139" t="s">
        <v>17</v>
      </c>
      <c r="F139">
        <v>2</v>
      </c>
      <c r="G139" t="s">
        <v>49</v>
      </c>
      <c r="H139" t="s">
        <v>19</v>
      </c>
      <c r="I139">
        <v>2</v>
      </c>
      <c r="J139">
        <v>481</v>
      </c>
      <c r="K139">
        <v>962</v>
      </c>
      <c r="L139" t="s">
        <v>24</v>
      </c>
    </row>
    <row r="140" spans="1:12" x14ac:dyDescent="0.3">
      <c r="A140">
        <v>1139</v>
      </c>
      <c r="B140" s="1">
        <v>45397</v>
      </c>
      <c r="C140">
        <v>1</v>
      </c>
      <c r="D140" t="s">
        <v>47</v>
      </c>
      <c r="E140" t="s">
        <v>22</v>
      </c>
      <c r="F140">
        <v>7</v>
      </c>
      <c r="G140" t="s">
        <v>67</v>
      </c>
      <c r="H140" t="s">
        <v>62</v>
      </c>
      <c r="I140">
        <v>6</v>
      </c>
      <c r="J140">
        <v>1625</v>
      </c>
      <c r="K140">
        <v>9750</v>
      </c>
      <c r="L140" t="s">
        <v>20</v>
      </c>
    </row>
    <row r="141" spans="1:12" x14ac:dyDescent="0.3">
      <c r="A141">
        <v>1140</v>
      </c>
      <c r="B141" s="1">
        <v>45311</v>
      </c>
      <c r="C141">
        <v>43</v>
      </c>
      <c r="D141" t="s">
        <v>76</v>
      </c>
      <c r="E141" t="s">
        <v>22</v>
      </c>
      <c r="F141">
        <v>17</v>
      </c>
      <c r="G141" t="s">
        <v>29</v>
      </c>
      <c r="H141" t="s">
        <v>30</v>
      </c>
      <c r="I141">
        <v>4</v>
      </c>
      <c r="J141">
        <v>1320</v>
      </c>
      <c r="K141">
        <v>5280</v>
      </c>
      <c r="L141" t="s">
        <v>33</v>
      </c>
    </row>
    <row r="142" spans="1:12" x14ac:dyDescent="0.3">
      <c r="A142">
        <v>1141</v>
      </c>
      <c r="B142" s="1">
        <v>45350</v>
      </c>
      <c r="C142">
        <v>15</v>
      </c>
      <c r="D142" t="s">
        <v>72</v>
      </c>
      <c r="E142" t="s">
        <v>26</v>
      </c>
      <c r="F142">
        <v>3</v>
      </c>
      <c r="G142" t="s">
        <v>81</v>
      </c>
      <c r="H142" t="s">
        <v>30</v>
      </c>
      <c r="I142">
        <v>4</v>
      </c>
      <c r="J142">
        <v>1214</v>
      </c>
      <c r="K142">
        <v>4856</v>
      </c>
      <c r="L142" t="s">
        <v>24</v>
      </c>
    </row>
    <row r="143" spans="1:12" x14ac:dyDescent="0.3">
      <c r="A143">
        <v>1142</v>
      </c>
      <c r="B143" s="1">
        <v>45383</v>
      </c>
      <c r="C143">
        <v>50</v>
      </c>
      <c r="D143" t="s">
        <v>85</v>
      </c>
      <c r="E143" t="s">
        <v>22</v>
      </c>
      <c r="F143">
        <v>1</v>
      </c>
      <c r="G143" t="s">
        <v>42</v>
      </c>
      <c r="H143" t="s">
        <v>14</v>
      </c>
      <c r="I143">
        <v>1</v>
      </c>
      <c r="J143">
        <v>574</v>
      </c>
      <c r="K143">
        <v>574</v>
      </c>
      <c r="L143" t="s">
        <v>33</v>
      </c>
    </row>
    <row r="144" spans="1:12" x14ac:dyDescent="0.3">
      <c r="A144">
        <v>1143</v>
      </c>
      <c r="B144" s="1">
        <v>45443</v>
      </c>
      <c r="C144">
        <v>14</v>
      </c>
      <c r="D144" t="s">
        <v>88</v>
      </c>
      <c r="E144" t="s">
        <v>22</v>
      </c>
      <c r="F144">
        <v>6</v>
      </c>
      <c r="G144" t="s">
        <v>71</v>
      </c>
      <c r="H144" t="s">
        <v>62</v>
      </c>
      <c r="I144">
        <v>1</v>
      </c>
      <c r="J144">
        <v>1421</v>
      </c>
      <c r="K144">
        <v>1421</v>
      </c>
      <c r="L144" t="s">
        <v>15</v>
      </c>
    </row>
    <row r="145" spans="1:12" x14ac:dyDescent="0.3">
      <c r="A145">
        <v>1144</v>
      </c>
      <c r="B145" s="1">
        <v>45435</v>
      </c>
      <c r="C145">
        <v>21</v>
      </c>
      <c r="D145" t="s">
        <v>58</v>
      </c>
      <c r="E145" t="s">
        <v>26</v>
      </c>
      <c r="F145">
        <v>20</v>
      </c>
      <c r="G145" t="s">
        <v>80</v>
      </c>
      <c r="H145" t="s">
        <v>30</v>
      </c>
      <c r="I145">
        <v>9</v>
      </c>
      <c r="J145">
        <v>1558</v>
      </c>
      <c r="K145">
        <v>14022</v>
      </c>
      <c r="L145" t="s">
        <v>20</v>
      </c>
    </row>
    <row r="146" spans="1:12" x14ac:dyDescent="0.3">
      <c r="A146">
        <v>1145</v>
      </c>
      <c r="B146" s="1">
        <v>45332</v>
      </c>
      <c r="C146">
        <v>8</v>
      </c>
      <c r="D146" t="s">
        <v>74</v>
      </c>
      <c r="E146" t="s">
        <v>17</v>
      </c>
      <c r="F146">
        <v>18</v>
      </c>
      <c r="G146" t="s">
        <v>32</v>
      </c>
      <c r="H146" t="s">
        <v>19</v>
      </c>
      <c r="I146">
        <v>7</v>
      </c>
      <c r="J146">
        <v>1099</v>
      </c>
      <c r="K146">
        <v>7693</v>
      </c>
      <c r="L146" t="s">
        <v>24</v>
      </c>
    </row>
    <row r="147" spans="1:12" x14ac:dyDescent="0.3">
      <c r="A147">
        <v>1146</v>
      </c>
      <c r="B147" s="1">
        <v>45408</v>
      </c>
      <c r="C147">
        <v>46</v>
      </c>
      <c r="D147" t="s">
        <v>54</v>
      </c>
      <c r="E147" t="s">
        <v>22</v>
      </c>
      <c r="F147">
        <v>19</v>
      </c>
      <c r="G147" t="s">
        <v>18</v>
      </c>
      <c r="H147" t="s">
        <v>19</v>
      </c>
      <c r="I147">
        <v>9</v>
      </c>
      <c r="J147">
        <v>1563</v>
      </c>
      <c r="K147">
        <v>14067</v>
      </c>
      <c r="L147" t="s">
        <v>20</v>
      </c>
    </row>
    <row r="148" spans="1:12" x14ac:dyDescent="0.3">
      <c r="A148">
        <v>1147</v>
      </c>
      <c r="B148" s="1">
        <v>45370</v>
      </c>
      <c r="C148">
        <v>5</v>
      </c>
      <c r="D148" t="s">
        <v>35</v>
      </c>
      <c r="E148" t="s">
        <v>26</v>
      </c>
      <c r="F148">
        <v>3</v>
      </c>
      <c r="G148" t="s">
        <v>81</v>
      </c>
      <c r="H148" t="s">
        <v>30</v>
      </c>
      <c r="I148">
        <v>6</v>
      </c>
      <c r="J148">
        <v>1214</v>
      </c>
      <c r="K148">
        <v>7284</v>
      </c>
      <c r="L148" t="s">
        <v>24</v>
      </c>
    </row>
    <row r="149" spans="1:12" x14ac:dyDescent="0.3">
      <c r="A149">
        <v>1148</v>
      </c>
      <c r="B149" s="1">
        <v>45441</v>
      </c>
      <c r="C149">
        <v>6</v>
      </c>
      <c r="D149" t="s">
        <v>70</v>
      </c>
      <c r="E149" t="s">
        <v>26</v>
      </c>
      <c r="F149">
        <v>17</v>
      </c>
      <c r="G149" t="s">
        <v>29</v>
      </c>
      <c r="H149" t="s">
        <v>30</v>
      </c>
      <c r="I149">
        <v>9</v>
      </c>
      <c r="J149">
        <v>1320</v>
      </c>
      <c r="K149">
        <v>11880</v>
      </c>
      <c r="L149" t="s">
        <v>24</v>
      </c>
    </row>
    <row r="150" spans="1:12" x14ac:dyDescent="0.3">
      <c r="A150">
        <v>1149</v>
      </c>
      <c r="B150" s="1">
        <v>45347</v>
      </c>
      <c r="C150">
        <v>34</v>
      </c>
      <c r="D150" t="s">
        <v>75</v>
      </c>
      <c r="E150" t="s">
        <v>17</v>
      </c>
      <c r="F150">
        <v>14</v>
      </c>
      <c r="G150" t="s">
        <v>27</v>
      </c>
      <c r="H150" t="s">
        <v>14</v>
      </c>
      <c r="I150">
        <v>9</v>
      </c>
      <c r="J150">
        <v>204</v>
      </c>
      <c r="K150">
        <v>1836</v>
      </c>
      <c r="L150" t="s">
        <v>24</v>
      </c>
    </row>
    <row r="151" spans="1:12" x14ac:dyDescent="0.3">
      <c r="A151">
        <v>1150</v>
      </c>
      <c r="B151" s="1">
        <v>45364</v>
      </c>
      <c r="C151">
        <v>50</v>
      </c>
      <c r="D151" t="s">
        <v>85</v>
      </c>
      <c r="E151" t="s">
        <v>22</v>
      </c>
      <c r="F151">
        <v>8</v>
      </c>
      <c r="G151" t="s">
        <v>44</v>
      </c>
      <c r="H151" t="s">
        <v>19</v>
      </c>
      <c r="I151">
        <v>3</v>
      </c>
      <c r="J151">
        <v>1924</v>
      </c>
      <c r="K151">
        <v>5772</v>
      </c>
      <c r="L151" t="s">
        <v>15</v>
      </c>
    </row>
    <row r="152" spans="1:12" x14ac:dyDescent="0.3">
      <c r="A152">
        <v>1151</v>
      </c>
      <c r="B152" s="1">
        <v>45303</v>
      </c>
      <c r="C152">
        <v>40</v>
      </c>
      <c r="D152" t="s">
        <v>25</v>
      </c>
      <c r="E152" t="s">
        <v>26</v>
      </c>
      <c r="F152">
        <v>4</v>
      </c>
      <c r="G152" t="s">
        <v>52</v>
      </c>
      <c r="H152" t="s">
        <v>14</v>
      </c>
      <c r="I152">
        <v>7</v>
      </c>
      <c r="J152">
        <v>1380</v>
      </c>
      <c r="K152">
        <v>9660</v>
      </c>
      <c r="L152" t="s">
        <v>15</v>
      </c>
    </row>
    <row r="153" spans="1:12" x14ac:dyDescent="0.3">
      <c r="A153">
        <v>1152</v>
      </c>
      <c r="B153" s="1">
        <v>45367</v>
      </c>
      <c r="C153">
        <v>46</v>
      </c>
      <c r="D153" t="s">
        <v>54</v>
      </c>
      <c r="E153" t="s">
        <v>22</v>
      </c>
      <c r="F153">
        <v>5</v>
      </c>
      <c r="G153" t="s">
        <v>38</v>
      </c>
      <c r="H153" t="s">
        <v>30</v>
      </c>
      <c r="I153">
        <v>10</v>
      </c>
      <c r="J153">
        <v>632</v>
      </c>
      <c r="K153">
        <v>6320</v>
      </c>
      <c r="L153" t="s">
        <v>20</v>
      </c>
    </row>
    <row r="154" spans="1:12" x14ac:dyDescent="0.3">
      <c r="A154">
        <v>1153</v>
      </c>
      <c r="B154" s="1">
        <v>45363</v>
      </c>
      <c r="C154">
        <v>19</v>
      </c>
      <c r="D154" t="s">
        <v>83</v>
      </c>
      <c r="E154" t="s">
        <v>22</v>
      </c>
      <c r="F154">
        <v>7</v>
      </c>
      <c r="G154" t="s">
        <v>67</v>
      </c>
      <c r="H154" t="s">
        <v>62</v>
      </c>
      <c r="I154">
        <v>9</v>
      </c>
      <c r="J154">
        <v>1625</v>
      </c>
      <c r="K154">
        <v>14625</v>
      </c>
      <c r="L154" t="s">
        <v>15</v>
      </c>
    </row>
    <row r="155" spans="1:12" x14ac:dyDescent="0.3">
      <c r="A155">
        <v>1154</v>
      </c>
      <c r="B155" s="1">
        <v>45396</v>
      </c>
      <c r="C155">
        <v>25</v>
      </c>
      <c r="D155" t="s">
        <v>31</v>
      </c>
      <c r="E155" t="s">
        <v>63</v>
      </c>
      <c r="F155">
        <v>17</v>
      </c>
      <c r="G155" t="s">
        <v>29</v>
      </c>
      <c r="H155" t="s">
        <v>30</v>
      </c>
      <c r="I155">
        <v>2</v>
      </c>
      <c r="J155">
        <v>1320</v>
      </c>
      <c r="K155">
        <v>2640</v>
      </c>
      <c r="L155" t="s">
        <v>33</v>
      </c>
    </row>
    <row r="156" spans="1:12" x14ac:dyDescent="0.3">
      <c r="A156">
        <v>1155</v>
      </c>
      <c r="B156" s="1">
        <v>45293</v>
      </c>
      <c r="C156">
        <v>31</v>
      </c>
      <c r="D156" t="s">
        <v>48</v>
      </c>
      <c r="E156" t="s">
        <v>22</v>
      </c>
      <c r="F156">
        <v>13</v>
      </c>
      <c r="G156" t="s">
        <v>36</v>
      </c>
      <c r="H156" t="s">
        <v>19</v>
      </c>
      <c r="I156">
        <v>4</v>
      </c>
      <c r="J156">
        <v>1267</v>
      </c>
      <c r="K156">
        <v>5068</v>
      </c>
      <c r="L156" t="s">
        <v>15</v>
      </c>
    </row>
    <row r="157" spans="1:12" x14ac:dyDescent="0.3">
      <c r="A157">
        <v>1156</v>
      </c>
      <c r="B157" s="1">
        <v>45295</v>
      </c>
      <c r="C157">
        <v>42</v>
      </c>
      <c r="D157" t="s">
        <v>90</v>
      </c>
      <c r="E157" t="s">
        <v>63</v>
      </c>
      <c r="F157">
        <v>18</v>
      </c>
      <c r="G157" t="s">
        <v>32</v>
      </c>
      <c r="H157" t="s">
        <v>19</v>
      </c>
      <c r="I157">
        <v>5</v>
      </c>
      <c r="J157">
        <v>1099</v>
      </c>
      <c r="K157">
        <v>5495</v>
      </c>
      <c r="L157" t="s">
        <v>33</v>
      </c>
    </row>
    <row r="158" spans="1:12" x14ac:dyDescent="0.3">
      <c r="A158">
        <v>1157</v>
      </c>
      <c r="B158" s="1">
        <v>45382</v>
      </c>
      <c r="C158">
        <v>37</v>
      </c>
      <c r="D158" t="s">
        <v>16</v>
      </c>
      <c r="E158" t="s">
        <v>17</v>
      </c>
      <c r="F158">
        <v>8</v>
      </c>
      <c r="G158" t="s">
        <v>44</v>
      </c>
      <c r="H158" t="s">
        <v>19</v>
      </c>
      <c r="I158">
        <v>4</v>
      </c>
      <c r="J158">
        <v>1924</v>
      </c>
      <c r="K158">
        <v>7696</v>
      </c>
      <c r="L158" t="s">
        <v>15</v>
      </c>
    </row>
    <row r="159" spans="1:12" x14ac:dyDescent="0.3">
      <c r="A159">
        <v>1158</v>
      </c>
      <c r="B159" s="1">
        <v>45415</v>
      </c>
      <c r="C159">
        <v>8</v>
      </c>
      <c r="D159" t="s">
        <v>74</v>
      </c>
      <c r="E159" t="s">
        <v>17</v>
      </c>
      <c r="F159">
        <v>16</v>
      </c>
      <c r="G159" t="s">
        <v>55</v>
      </c>
      <c r="H159" t="s">
        <v>30</v>
      </c>
      <c r="I159">
        <v>5</v>
      </c>
      <c r="J159">
        <v>1948</v>
      </c>
      <c r="K159">
        <v>9740</v>
      </c>
      <c r="L159" t="s">
        <v>24</v>
      </c>
    </row>
    <row r="160" spans="1:12" x14ac:dyDescent="0.3">
      <c r="A160">
        <v>1159</v>
      </c>
      <c r="B160" s="1">
        <v>45424</v>
      </c>
      <c r="C160">
        <v>34</v>
      </c>
      <c r="D160" t="s">
        <v>75</v>
      </c>
      <c r="E160" t="s">
        <v>17</v>
      </c>
      <c r="F160">
        <v>7</v>
      </c>
      <c r="G160" t="s">
        <v>67</v>
      </c>
      <c r="H160" t="s">
        <v>62</v>
      </c>
      <c r="I160">
        <v>4</v>
      </c>
      <c r="J160">
        <v>1625</v>
      </c>
      <c r="K160">
        <v>6500</v>
      </c>
      <c r="L160" t="s">
        <v>33</v>
      </c>
    </row>
    <row r="161" spans="1:12" x14ac:dyDescent="0.3">
      <c r="A161">
        <v>1160</v>
      </c>
      <c r="B161" s="1">
        <v>45448</v>
      </c>
      <c r="C161">
        <v>23</v>
      </c>
      <c r="D161" t="s">
        <v>68</v>
      </c>
      <c r="E161" t="s">
        <v>26</v>
      </c>
      <c r="F161">
        <v>14</v>
      </c>
      <c r="G161" t="s">
        <v>27</v>
      </c>
      <c r="H161" t="s">
        <v>14</v>
      </c>
      <c r="I161">
        <v>8</v>
      </c>
      <c r="J161">
        <v>204</v>
      </c>
      <c r="K161">
        <v>1632</v>
      </c>
      <c r="L161" t="s">
        <v>20</v>
      </c>
    </row>
    <row r="162" spans="1:12" x14ac:dyDescent="0.3">
      <c r="A162">
        <v>1161</v>
      </c>
      <c r="B162" s="1">
        <v>45333</v>
      </c>
      <c r="C162">
        <v>45</v>
      </c>
      <c r="D162" t="s">
        <v>41</v>
      </c>
      <c r="E162" t="s">
        <v>63</v>
      </c>
      <c r="F162">
        <v>15</v>
      </c>
      <c r="G162" t="s">
        <v>65</v>
      </c>
      <c r="H162" t="s">
        <v>14</v>
      </c>
      <c r="I162">
        <v>5</v>
      </c>
      <c r="J162">
        <v>976</v>
      </c>
      <c r="K162">
        <v>4880</v>
      </c>
      <c r="L162" t="s">
        <v>24</v>
      </c>
    </row>
    <row r="163" spans="1:12" x14ac:dyDescent="0.3">
      <c r="A163">
        <v>1162</v>
      </c>
      <c r="B163" s="1">
        <v>45354</v>
      </c>
      <c r="C163">
        <v>45</v>
      </c>
      <c r="D163" t="s">
        <v>41</v>
      </c>
      <c r="E163" t="s">
        <v>63</v>
      </c>
      <c r="F163">
        <v>20</v>
      </c>
      <c r="G163" t="s">
        <v>80</v>
      </c>
      <c r="H163" t="s">
        <v>30</v>
      </c>
      <c r="I163">
        <v>6</v>
      </c>
      <c r="J163">
        <v>1558</v>
      </c>
      <c r="K163">
        <v>9348</v>
      </c>
      <c r="L163" t="s">
        <v>33</v>
      </c>
    </row>
    <row r="164" spans="1:12" x14ac:dyDescent="0.3">
      <c r="A164">
        <v>1163</v>
      </c>
      <c r="B164" s="1">
        <v>45340</v>
      </c>
      <c r="C164">
        <v>3</v>
      </c>
      <c r="D164" t="s">
        <v>87</v>
      </c>
      <c r="E164" t="s">
        <v>17</v>
      </c>
      <c r="F164">
        <v>20</v>
      </c>
      <c r="G164" t="s">
        <v>80</v>
      </c>
      <c r="H164" t="s">
        <v>30</v>
      </c>
      <c r="I164">
        <v>1</v>
      </c>
      <c r="J164">
        <v>1558</v>
      </c>
      <c r="K164">
        <v>1558</v>
      </c>
      <c r="L164" t="s">
        <v>15</v>
      </c>
    </row>
    <row r="165" spans="1:12" x14ac:dyDescent="0.3">
      <c r="A165">
        <v>1164</v>
      </c>
      <c r="B165" s="1">
        <v>45423</v>
      </c>
      <c r="C165">
        <v>14</v>
      </c>
      <c r="D165" t="s">
        <v>88</v>
      </c>
      <c r="E165" t="s">
        <v>22</v>
      </c>
      <c r="F165">
        <v>8</v>
      </c>
      <c r="G165" t="s">
        <v>44</v>
      </c>
      <c r="H165" t="s">
        <v>19</v>
      </c>
      <c r="I165">
        <v>1</v>
      </c>
      <c r="J165">
        <v>1924</v>
      </c>
      <c r="K165">
        <v>1924</v>
      </c>
      <c r="L165" t="s">
        <v>24</v>
      </c>
    </row>
    <row r="166" spans="1:12" x14ac:dyDescent="0.3">
      <c r="A166">
        <v>1165</v>
      </c>
      <c r="B166" s="1">
        <v>45454</v>
      </c>
      <c r="C166">
        <v>14</v>
      </c>
      <c r="D166" t="s">
        <v>88</v>
      </c>
      <c r="E166" t="s">
        <v>22</v>
      </c>
      <c r="F166">
        <v>2</v>
      </c>
      <c r="G166" t="s">
        <v>49</v>
      </c>
      <c r="H166" t="s">
        <v>19</v>
      </c>
      <c r="I166">
        <v>3</v>
      </c>
      <c r="J166">
        <v>481</v>
      </c>
      <c r="K166">
        <v>1443</v>
      </c>
      <c r="L166" t="s">
        <v>20</v>
      </c>
    </row>
    <row r="167" spans="1:12" x14ac:dyDescent="0.3">
      <c r="A167">
        <v>1166</v>
      </c>
      <c r="B167" s="1">
        <v>45325</v>
      </c>
      <c r="C167">
        <v>29</v>
      </c>
      <c r="D167" t="s">
        <v>40</v>
      </c>
      <c r="E167" t="s">
        <v>26</v>
      </c>
      <c r="F167">
        <v>13</v>
      </c>
      <c r="G167" t="s">
        <v>36</v>
      </c>
      <c r="H167" t="s">
        <v>19</v>
      </c>
      <c r="I167">
        <v>6</v>
      </c>
      <c r="J167">
        <v>1267</v>
      </c>
      <c r="K167">
        <v>7602</v>
      </c>
      <c r="L167" t="s">
        <v>15</v>
      </c>
    </row>
    <row r="168" spans="1:12" x14ac:dyDescent="0.3">
      <c r="A168">
        <v>1167</v>
      </c>
      <c r="B168" s="1">
        <v>45315</v>
      </c>
      <c r="C168">
        <v>41</v>
      </c>
      <c r="D168" t="s">
        <v>91</v>
      </c>
      <c r="E168" t="s">
        <v>26</v>
      </c>
      <c r="F168">
        <v>10</v>
      </c>
      <c r="G168" t="s">
        <v>61</v>
      </c>
      <c r="H168" t="s">
        <v>62</v>
      </c>
      <c r="I168">
        <v>7</v>
      </c>
      <c r="J168">
        <v>273</v>
      </c>
      <c r="K168">
        <v>1911</v>
      </c>
      <c r="L168" t="s">
        <v>15</v>
      </c>
    </row>
    <row r="169" spans="1:12" x14ac:dyDescent="0.3">
      <c r="A169">
        <v>1168</v>
      </c>
      <c r="B169" s="1">
        <v>45443</v>
      </c>
      <c r="C169">
        <v>7</v>
      </c>
      <c r="D169" t="s">
        <v>39</v>
      </c>
      <c r="E169" t="s">
        <v>26</v>
      </c>
      <c r="F169">
        <v>5</v>
      </c>
      <c r="G169" t="s">
        <v>38</v>
      </c>
      <c r="H169" t="s">
        <v>30</v>
      </c>
      <c r="I169">
        <v>9</v>
      </c>
      <c r="J169">
        <v>632</v>
      </c>
      <c r="K169">
        <v>5688</v>
      </c>
      <c r="L169" t="s">
        <v>33</v>
      </c>
    </row>
    <row r="170" spans="1:12" x14ac:dyDescent="0.3">
      <c r="A170">
        <v>1169</v>
      </c>
      <c r="B170" s="1">
        <v>45473</v>
      </c>
      <c r="C170">
        <v>14</v>
      </c>
      <c r="D170" t="s">
        <v>88</v>
      </c>
      <c r="E170" t="s">
        <v>22</v>
      </c>
      <c r="F170">
        <v>18</v>
      </c>
      <c r="G170" t="s">
        <v>32</v>
      </c>
      <c r="H170" t="s">
        <v>19</v>
      </c>
      <c r="I170">
        <v>3</v>
      </c>
      <c r="J170">
        <v>1099</v>
      </c>
      <c r="K170">
        <v>3297</v>
      </c>
      <c r="L170" t="s">
        <v>15</v>
      </c>
    </row>
    <row r="171" spans="1:12" x14ac:dyDescent="0.3">
      <c r="A171">
        <v>1170</v>
      </c>
      <c r="B171" s="1">
        <v>45367</v>
      </c>
      <c r="C171">
        <v>14</v>
      </c>
      <c r="D171" t="s">
        <v>88</v>
      </c>
      <c r="E171" t="s">
        <v>22</v>
      </c>
      <c r="F171">
        <v>3</v>
      </c>
      <c r="G171" t="s">
        <v>81</v>
      </c>
      <c r="H171" t="s">
        <v>30</v>
      </c>
      <c r="I171">
        <v>4</v>
      </c>
      <c r="J171">
        <v>1214</v>
      </c>
      <c r="K171">
        <v>4856</v>
      </c>
      <c r="L171" t="s">
        <v>20</v>
      </c>
    </row>
    <row r="172" spans="1:12" x14ac:dyDescent="0.3">
      <c r="A172">
        <v>1171</v>
      </c>
      <c r="B172" s="1">
        <v>45310</v>
      </c>
      <c r="C172">
        <v>28</v>
      </c>
      <c r="D172" t="s">
        <v>51</v>
      </c>
      <c r="E172" t="s">
        <v>17</v>
      </c>
      <c r="F172">
        <v>20</v>
      </c>
      <c r="G172" t="s">
        <v>80</v>
      </c>
      <c r="H172" t="s">
        <v>30</v>
      </c>
      <c r="I172">
        <v>1</v>
      </c>
      <c r="J172">
        <v>1558</v>
      </c>
      <c r="K172">
        <v>1558</v>
      </c>
      <c r="L172" t="s">
        <v>24</v>
      </c>
    </row>
    <row r="173" spans="1:12" x14ac:dyDescent="0.3">
      <c r="A173">
        <v>1172</v>
      </c>
      <c r="B173" s="1">
        <v>45423</v>
      </c>
      <c r="C173">
        <v>17</v>
      </c>
      <c r="D173" t="s">
        <v>45</v>
      </c>
      <c r="E173" t="s">
        <v>26</v>
      </c>
      <c r="F173">
        <v>20</v>
      </c>
      <c r="G173" t="s">
        <v>80</v>
      </c>
      <c r="H173" t="s">
        <v>30</v>
      </c>
      <c r="I173">
        <v>4</v>
      </c>
      <c r="J173">
        <v>1558</v>
      </c>
      <c r="K173">
        <v>6232</v>
      </c>
      <c r="L173" t="s">
        <v>24</v>
      </c>
    </row>
    <row r="174" spans="1:12" x14ac:dyDescent="0.3">
      <c r="A174">
        <v>1173</v>
      </c>
      <c r="B174" s="1">
        <v>45363</v>
      </c>
      <c r="C174">
        <v>23</v>
      </c>
      <c r="D174" t="s">
        <v>68</v>
      </c>
      <c r="E174" t="s">
        <v>26</v>
      </c>
      <c r="F174">
        <v>10</v>
      </c>
      <c r="G174" t="s">
        <v>61</v>
      </c>
      <c r="H174" t="s">
        <v>62</v>
      </c>
      <c r="I174">
        <v>7</v>
      </c>
      <c r="J174">
        <v>273</v>
      </c>
      <c r="K174">
        <v>1911</v>
      </c>
      <c r="L174" t="s">
        <v>24</v>
      </c>
    </row>
    <row r="175" spans="1:12" x14ac:dyDescent="0.3">
      <c r="A175">
        <v>1174</v>
      </c>
      <c r="B175" s="1">
        <v>45301</v>
      </c>
      <c r="C175">
        <v>11</v>
      </c>
      <c r="D175" t="s">
        <v>89</v>
      </c>
      <c r="E175" t="s">
        <v>26</v>
      </c>
      <c r="F175">
        <v>8</v>
      </c>
      <c r="G175" t="s">
        <v>44</v>
      </c>
      <c r="H175" t="s">
        <v>19</v>
      </c>
      <c r="I175">
        <v>6</v>
      </c>
      <c r="J175">
        <v>1924</v>
      </c>
      <c r="K175">
        <v>11544</v>
      </c>
      <c r="L175" t="s">
        <v>15</v>
      </c>
    </row>
    <row r="176" spans="1:12" x14ac:dyDescent="0.3">
      <c r="A176">
        <v>1175</v>
      </c>
      <c r="B176" s="1">
        <v>45328</v>
      </c>
      <c r="C176">
        <v>5</v>
      </c>
      <c r="D176" t="s">
        <v>35</v>
      </c>
      <c r="E176" t="s">
        <v>26</v>
      </c>
      <c r="F176">
        <v>10</v>
      </c>
      <c r="G176" t="s">
        <v>61</v>
      </c>
      <c r="H176" t="s">
        <v>62</v>
      </c>
      <c r="I176">
        <v>1</v>
      </c>
      <c r="J176">
        <v>273</v>
      </c>
      <c r="K176">
        <v>273</v>
      </c>
      <c r="L176" t="s">
        <v>15</v>
      </c>
    </row>
    <row r="177" spans="1:12" x14ac:dyDescent="0.3">
      <c r="A177">
        <v>1176</v>
      </c>
      <c r="B177" s="1">
        <v>45402</v>
      </c>
      <c r="C177">
        <v>10</v>
      </c>
      <c r="D177" t="s">
        <v>64</v>
      </c>
      <c r="E177" t="s">
        <v>17</v>
      </c>
      <c r="F177">
        <v>14</v>
      </c>
      <c r="G177" t="s">
        <v>27</v>
      </c>
      <c r="H177" t="s">
        <v>14</v>
      </c>
      <c r="I177">
        <v>8</v>
      </c>
      <c r="J177">
        <v>204</v>
      </c>
      <c r="K177">
        <v>1632</v>
      </c>
      <c r="L177" t="s">
        <v>20</v>
      </c>
    </row>
    <row r="178" spans="1:12" x14ac:dyDescent="0.3">
      <c r="A178">
        <v>1177</v>
      </c>
      <c r="B178" s="1">
        <v>45341</v>
      </c>
      <c r="C178">
        <v>7</v>
      </c>
      <c r="D178" t="s">
        <v>39</v>
      </c>
      <c r="E178" t="s">
        <v>26</v>
      </c>
      <c r="F178">
        <v>10</v>
      </c>
      <c r="G178" t="s">
        <v>61</v>
      </c>
      <c r="H178" t="s">
        <v>62</v>
      </c>
      <c r="I178">
        <v>7</v>
      </c>
      <c r="J178">
        <v>273</v>
      </c>
      <c r="K178">
        <v>1911</v>
      </c>
      <c r="L178" t="s">
        <v>33</v>
      </c>
    </row>
    <row r="179" spans="1:12" x14ac:dyDescent="0.3">
      <c r="A179">
        <v>1178</v>
      </c>
      <c r="B179" s="1">
        <v>45356</v>
      </c>
      <c r="C179">
        <v>31</v>
      </c>
      <c r="D179" t="s">
        <v>48</v>
      </c>
      <c r="E179" t="s">
        <v>22</v>
      </c>
      <c r="F179">
        <v>12</v>
      </c>
      <c r="G179" t="s">
        <v>23</v>
      </c>
      <c r="H179" t="s">
        <v>19</v>
      </c>
      <c r="I179">
        <v>7</v>
      </c>
      <c r="J179">
        <v>1539</v>
      </c>
      <c r="K179">
        <v>10773</v>
      </c>
      <c r="L179" t="s">
        <v>15</v>
      </c>
    </row>
    <row r="180" spans="1:12" x14ac:dyDescent="0.3">
      <c r="A180">
        <v>1179</v>
      </c>
      <c r="B180" s="1">
        <v>45354</v>
      </c>
      <c r="C180">
        <v>5</v>
      </c>
      <c r="D180" t="s">
        <v>35</v>
      </c>
      <c r="E180" t="s">
        <v>26</v>
      </c>
      <c r="F180">
        <v>14</v>
      </c>
      <c r="G180" t="s">
        <v>27</v>
      </c>
      <c r="H180" t="s">
        <v>14</v>
      </c>
      <c r="I180">
        <v>9</v>
      </c>
      <c r="J180">
        <v>204</v>
      </c>
      <c r="K180">
        <v>1836</v>
      </c>
      <c r="L180" t="s">
        <v>24</v>
      </c>
    </row>
    <row r="181" spans="1:12" x14ac:dyDescent="0.3">
      <c r="A181">
        <v>1180</v>
      </c>
      <c r="B181" s="1">
        <v>45327</v>
      </c>
      <c r="C181">
        <v>28</v>
      </c>
      <c r="D181" t="s">
        <v>51</v>
      </c>
      <c r="E181" t="s">
        <v>17</v>
      </c>
      <c r="F181">
        <v>13</v>
      </c>
      <c r="G181" t="s">
        <v>36</v>
      </c>
      <c r="H181" t="s">
        <v>19</v>
      </c>
      <c r="I181">
        <v>6</v>
      </c>
      <c r="J181">
        <v>1267</v>
      </c>
      <c r="K181">
        <v>7602</v>
      </c>
      <c r="L181" t="s">
        <v>33</v>
      </c>
    </row>
    <row r="182" spans="1:12" x14ac:dyDescent="0.3">
      <c r="A182">
        <v>1181</v>
      </c>
      <c r="B182" s="1">
        <v>45431</v>
      </c>
      <c r="C182">
        <v>16</v>
      </c>
      <c r="D182" t="s">
        <v>43</v>
      </c>
      <c r="E182" t="s">
        <v>17</v>
      </c>
      <c r="F182">
        <v>19</v>
      </c>
      <c r="G182" t="s">
        <v>18</v>
      </c>
      <c r="H182" t="s">
        <v>19</v>
      </c>
      <c r="I182">
        <v>6</v>
      </c>
      <c r="J182">
        <v>1563</v>
      </c>
      <c r="K182">
        <v>9378</v>
      </c>
      <c r="L182" t="s">
        <v>24</v>
      </c>
    </row>
    <row r="183" spans="1:12" x14ac:dyDescent="0.3">
      <c r="A183">
        <v>1182</v>
      </c>
      <c r="B183" s="1">
        <v>45374</v>
      </c>
      <c r="C183">
        <v>37</v>
      </c>
      <c r="D183" t="s">
        <v>16</v>
      </c>
      <c r="E183" t="s">
        <v>17</v>
      </c>
      <c r="F183">
        <v>9</v>
      </c>
      <c r="G183" t="s">
        <v>13</v>
      </c>
      <c r="H183" t="s">
        <v>14</v>
      </c>
      <c r="I183">
        <v>2</v>
      </c>
      <c r="J183">
        <v>1047</v>
      </c>
      <c r="K183">
        <v>2094</v>
      </c>
      <c r="L183" t="s">
        <v>33</v>
      </c>
    </row>
    <row r="184" spans="1:12" x14ac:dyDescent="0.3">
      <c r="A184">
        <v>1183</v>
      </c>
      <c r="B184" s="1">
        <v>45380</v>
      </c>
      <c r="C184">
        <v>7</v>
      </c>
      <c r="D184" t="s">
        <v>39</v>
      </c>
      <c r="E184" t="s">
        <v>26</v>
      </c>
      <c r="F184">
        <v>17</v>
      </c>
      <c r="G184" t="s">
        <v>29</v>
      </c>
      <c r="H184" t="s">
        <v>30</v>
      </c>
      <c r="I184">
        <v>8</v>
      </c>
      <c r="J184">
        <v>1320</v>
      </c>
      <c r="K184">
        <v>10560</v>
      </c>
      <c r="L184" t="s">
        <v>15</v>
      </c>
    </row>
    <row r="185" spans="1:12" x14ac:dyDescent="0.3">
      <c r="A185">
        <v>1184</v>
      </c>
      <c r="B185" s="1">
        <v>45369</v>
      </c>
      <c r="C185">
        <v>22</v>
      </c>
      <c r="D185" t="s">
        <v>69</v>
      </c>
      <c r="E185" t="s">
        <v>22</v>
      </c>
      <c r="F185">
        <v>1</v>
      </c>
      <c r="G185" t="s">
        <v>42</v>
      </c>
      <c r="H185" t="s">
        <v>14</v>
      </c>
      <c r="I185">
        <v>9</v>
      </c>
      <c r="J185">
        <v>574</v>
      </c>
      <c r="K185">
        <v>5166</v>
      </c>
      <c r="L185" t="s">
        <v>15</v>
      </c>
    </row>
    <row r="186" spans="1:12" x14ac:dyDescent="0.3">
      <c r="A186">
        <v>1185</v>
      </c>
      <c r="B186" s="1">
        <v>45463</v>
      </c>
      <c r="C186">
        <v>30</v>
      </c>
      <c r="D186" t="s">
        <v>34</v>
      </c>
      <c r="E186" t="s">
        <v>26</v>
      </c>
      <c r="F186">
        <v>18</v>
      </c>
      <c r="G186" t="s">
        <v>32</v>
      </c>
      <c r="H186" t="s">
        <v>19</v>
      </c>
      <c r="I186">
        <v>9</v>
      </c>
      <c r="J186">
        <v>1099</v>
      </c>
      <c r="K186">
        <v>9891</v>
      </c>
      <c r="L186" t="s">
        <v>15</v>
      </c>
    </row>
    <row r="187" spans="1:12" x14ac:dyDescent="0.3">
      <c r="A187">
        <v>1186</v>
      </c>
      <c r="B187" s="1">
        <v>45449</v>
      </c>
      <c r="C187">
        <v>6</v>
      </c>
      <c r="D187" t="s">
        <v>70</v>
      </c>
      <c r="E187" t="s">
        <v>26</v>
      </c>
      <c r="F187">
        <v>2</v>
      </c>
      <c r="G187" t="s">
        <v>49</v>
      </c>
      <c r="H187" t="s">
        <v>19</v>
      </c>
      <c r="I187">
        <v>8</v>
      </c>
      <c r="J187">
        <v>481</v>
      </c>
      <c r="K187">
        <v>3848</v>
      </c>
      <c r="L187" t="s">
        <v>33</v>
      </c>
    </row>
    <row r="188" spans="1:12" x14ac:dyDescent="0.3">
      <c r="A188">
        <v>1187</v>
      </c>
      <c r="B188" s="1">
        <v>45442</v>
      </c>
      <c r="C188">
        <v>38</v>
      </c>
      <c r="D188" t="s">
        <v>50</v>
      </c>
      <c r="E188" t="s">
        <v>17</v>
      </c>
      <c r="F188">
        <v>12</v>
      </c>
      <c r="G188" t="s">
        <v>23</v>
      </c>
      <c r="H188" t="s">
        <v>19</v>
      </c>
      <c r="I188">
        <v>6</v>
      </c>
      <c r="J188">
        <v>1539</v>
      </c>
      <c r="K188">
        <v>9234</v>
      </c>
      <c r="L188" t="s">
        <v>20</v>
      </c>
    </row>
    <row r="189" spans="1:12" x14ac:dyDescent="0.3">
      <c r="A189">
        <v>1188</v>
      </c>
      <c r="B189" s="1">
        <v>45323</v>
      </c>
      <c r="C189">
        <v>43</v>
      </c>
      <c r="D189" t="s">
        <v>76</v>
      </c>
      <c r="E189" t="s">
        <v>22</v>
      </c>
      <c r="F189">
        <v>17</v>
      </c>
      <c r="G189" t="s">
        <v>29</v>
      </c>
      <c r="H189" t="s">
        <v>30</v>
      </c>
      <c r="I189">
        <v>2</v>
      </c>
      <c r="J189">
        <v>1320</v>
      </c>
      <c r="K189">
        <v>2640</v>
      </c>
      <c r="L189" t="s">
        <v>15</v>
      </c>
    </row>
    <row r="190" spans="1:12" x14ac:dyDescent="0.3">
      <c r="A190">
        <v>1189</v>
      </c>
      <c r="B190" s="1">
        <v>45314</v>
      </c>
      <c r="C190">
        <v>10</v>
      </c>
      <c r="D190" t="s">
        <v>64</v>
      </c>
      <c r="E190" t="s">
        <v>17</v>
      </c>
      <c r="F190">
        <v>10</v>
      </c>
      <c r="G190" t="s">
        <v>61</v>
      </c>
      <c r="H190" t="s">
        <v>62</v>
      </c>
      <c r="I190">
        <v>9</v>
      </c>
      <c r="J190">
        <v>273</v>
      </c>
      <c r="K190">
        <v>2457</v>
      </c>
      <c r="L190" t="s">
        <v>15</v>
      </c>
    </row>
    <row r="191" spans="1:12" x14ac:dyDescent="0.3">
      <c r="A191">
        <v>1190</v>
      </c>
      <c r="B191" s="1">
        <v>45440</v>
      </c>
      <c r="C191">
        <v>14</v>
      </c>
      <c r="D191" t="s">
        <v>88</v>
      </c>
      <c r="E191" t="s">
        <v>22</v>
      </c>
      <c r="F191">
        <v>8</v>
      </c>
      <c r="G191" t="s">
        <v>44</v>
      </c>
      <c r="H191" t="s">
        <v>19</v>
      </c>
      <c r="I191">
        <v>6</v>
      </c>
      <c r="J191">
        <v>1924</v>
      </c>
      <c r="K191">
        <v>11544</v>
      </c>
      <c r="L191" t="s">
        <v>33</v>
      </c>
    </row>
    <row r="192" spans="1:12" x14ac:dyDescent="0.3">
      <c r="A192">
        <v>1191</v>
      </c>
      <c r="B192" s="1">
        <v>45342</v>
      </c>
      <c r="C192">
        <v>14</v>
      </c>
      <c r="D192" t="s">
        <v>88</v>
      </c>
      <c r="E192" t="s">
        <v>22</v>
      </c>
      <c r="F192">
        <v>9</v>
      </c>
      <c r="G192" t="s">
        <v>13</v>
      </c>
      <c r="H192" t="s">
        <v>14</v>
      </c>
      <c r="I192">
        <v>8</v>
      </c>
      <c r="J192">
        <v>1047</v>
      </c>
      <c r="K192">
        <v>8376</v>
      </c>
      <c r="L192" t="s">
        <v>24</v>
      </c>
    </row>
    <row r="193" spans="1:12" x14ac:dyDescent="0.3">
      <c r="A193">
        <v>1192</v>
      </c>
      <c r="B193" s="1">
        <v>45420</v>
      </c>
      <c r="C193">
        <v>1</v>
      </c>
      <c r="D193" t="s">
        <v>47</v>
      </c>
      <c r="E193" t="s">
        <v>22</v>
      </c>
      <c r="F193">
        <v>10</v>
      </c>
      <c r="G193" t="s">
        <v>61</v>
      </c>
      <c r="H193" t="s">
        <v>62</v>
      </c>
      <c r="I193">
        <v>9</v>
      </c>
      <c r="J193">
        <v>273</v>
      </c>
      <c r="K193">
        <v>2457</v>
      </c>
      <c r="L193" t="s">
        <v>24</v>
      </c>
    </row>
    <row r="194" spans="1:12" x14ac:dyDescent="0.3">
      <c r="A194">
        <v>1193</v>
      </c>
      <c r="B194" s="1">
        <v>45454</v>
      </c>
      <c r="C194">
        <v>24</v>
      </c>
      <c r="D194" t="s">
        <v>82</v>
      </c>
      <c r="E194" t="s">
        <v>26</v>
      </c>
      <c r="F194">
        <v>6</v>
      </c>
      <c r="G194" t="s">
        <v>71</v>
      </c>
      <c r="H194" t="s">
        <v>62</v>
      </c>
      <c r="I194">
        <v>7</v>
      </c>
      <c r="J194">
        <v>1421</v>
      </c>
      <c r="K194">
        <v>9947</v>
      </c>
      <c r="L194" t="s">
        <v>15</v>
      </c>
    </row>
    <row r="195" spans="1:12" x14ac:dyDescent="0.3">
      <c r="A195">
        <v>1194</v>
      </c>
      <c r="B195" s="1">
        <v>45337</v>
      </c>
      <c r="C195">
        <v>14</v>
      </c>
      <c r="D195" t="s">
        <v>88</v>
      </c>
      <c r="E195" t="s">
        <v>22</v>
      </c>
      <c r="F195">
        <v>20</v>
      </c>
      <c r="G195" t="s">
        <v>80</v>
      </c>
      <c r="H195" t="s">
        <v>30</v>
      </c>
      <c r="I195">
        <v>3</v>
      </c>
      <c r="J195">
        <v>1558</v>
      </c>
      <c r="K195">
        <v>4674</v>
      </c>
      <c r="L195" t="s">
        <v>20</v>
      </c>
    </row>
    <row r="196" spans="1:12" x14ac:dyDescent="0.3">
      <c r="A196">
        <v>1195</v>
      </c>
      <c r="B196" s="1">
        <v>45375</v>
      </c>
      <c r="C196">
        <v>16</v>
      </c>
      <c r="D196" t="s">
        <v>43</v>
      </c>
      <c r="E196" t="s">
        <v>17</v>
      </c>
      <c r="F196">
        <v>11</v>
      </c>
      <c r="G196" t="s">
        <v>77</v>
      </c>
      <c r="H196" t="s">
        <v>14</v>
      </c>
      <c r="I196">
        <v>5</v>
      </c>
      <c r="J196">
        <v>1093</v>
      </c>
      <c r="K196">
        <v>5465</v>
      </c>
      <c r="L196" t="s">
        <v>20</v>
      </c>
    </row>
    <row r="197" spans="1:12" x14ac:dyDescent="0.3">
      <c r="A197">
        <v>1196</v>
      </c>
      <c r="B197" s="1">
        <v>45352</v>
      </c>
      <c r="C197">
        <v>10</v>
      </c>
      <c r="D197" t="s">
        <v>64</v>
      </c>
      <c r="E197" t="s">
        <v>17</v>
      </c>
      <c r="F197">
        <v>18</v>
      </c>
      <c r="G197" t="s">
        <v>32</v>
      </c>
      <c r="H197" t="s">
        <v>19</v>
      </c>
      <c r="I197">
        <v>2</v>
      </c>
      <c r="J197">
        <v>1099</v>
      </c>
      <c r="K197">
        <v>2198</v>
      </c>
      <c r="L197" t="s">
        <v>15</v>
      </c>
    </row>
    <row r="198" spans="1:12" x14ac:dyDescent="0.3">
      <c r="A198">
        <v>1197</v>
      </c>
      <c r="B198" s="1">
        <v>45292</v>
      </c>
      <c r="C198">
        <v>21</v>
      </c>
      <c r="D198" t="s">
        <v>58</v>
      </c>
      <c r="E198" t="s">
        <v>26</v>
      </c>
      <c r="F198">
        <v>5</v>
      </c>
      <c r="G198" t="s">
        <v>38</v>
      </c>
      <c r="H198" t="s">
        <v>30</v>
      </c>
      <c r="I198">
        <v>5</v>
      </c>
      <c r="J198">
        <v>632</v>
      </c>
      <c r="K198">
        <v>3160</v>
      </c>
      <c r="L198" t="s">
        <v>33</v>
      </c>
    </row>
    <row r="199" spans="1:12" x14ac:dyDescent="0.3">
      <c r="A199">
        <v>1198</v>
      </c>
      <c r="B199" s="1">
        <v>45387</v>
      </c>
      <c r="C199">
        <v>10</v>
      </c>
      <c r="D199" t="s">
        <v>64</v>
      </c>
      <c r="E199" t="s">
        <v>17</v>
      </c>
      <c r="F199">
        <v>10</v>
      </c>
      <c r="G199" t="s">
        <v>61</v>
      </c>
      <c r="H199" t="s">
        <v>62</v>
      </c>
      <c r="I199">
        <v>5</v>
      </c>
      <c r="J199">
        <v>273</v>
      </c>
      <c r="K199">
        <v>1365</v>
      </c>
      <c r="L199" t="s">
        <v>33</v>
      </c>
    </row>
    <row r="200" spans="1:12" x14ac:dyDescent="0.3">
      <c r="A200">
        <v>1199</v>
      </c>
      <c r="B200" s="1">
        <v>45344</v>
      </c>
      <c r="C200">
        <v>48</v>
      </c>
      <c r="D200" t="s">
        <v>28</v>
      </c>
      <c r="E200" t="s">
        <v>63</v>
      </c>
      <c r="F200">
        <v>16</v>
      </c>
      <c r="G200" t="s">
        <v>55</v>
      </c>
      <c r="H200" t="s">
        <v>30</v>
      </c>
      <c r="I200">
        <v>2</v>
      </c>
      <c r="J200">
        <v>1948</v>
      </c>
      <c r="K200">
        <v>3896</v>
      </c>
      <c r="L200" t="s">
        <v>20</v>
      </c>
    </row>
    <row r="201" spans="1:12" x14ac:dyDescent="0.3">
      <c r="A201">
        <v>1200</v>
      </c>
      <c r="B201" s="1">
        <v>45343</v>
      </c>
      <c r="C201">
        <v>50</v>
      </c>
      <c r="D201" t="s">
        <v>85</v>
      </c>
      <c r="E201" t="s">
        <v>22</v>
      </c>
      <c r="F201">
        <v>17</v>
      </c>
      <c r="G201" t="s">
        <v>29</v>
      </c>
      <c r="H201" t="s">
        <v>30</v>
      </c>
      <c r="I201">
        <v>8</v>
      </c>
      <c r="J201">
        <v>1320</v>
      </c>
      <c r="K201">
        <v>10560</v>
      </c>
      <c r="L201" t="s">
        <v>20</v>
      </c>
    </row>
    <row r="202" spans="1:12" x14ac:dyDescent="0.3">
      <c r="A202">
        <v>2007</v>
      </c>
      <c r="B202" s="1">
        <v>45535</v>
      </c>
      <c r="C202">
        <v>24</v>
      </c>
      <c r="D202" t="s">
        <v>82</v>
      </c>
      <c r="E202" t="s">
        <v>26</v>
      </c>
      <c r="F202">
        <v>9</v>
      </c>
      <c r="G202" t="s">
        <v>13</v>
      </c>
      <c r="H202" t="s">
        <v>14</v>
      </c>
      <c r="I202">
        <v>7</v>
      </c>
      <c r="J202">
        <v>1047</v>
      </c>
      <c r="K202">
        <v>7329</v>
      </c>
      <c r="L202" t="s">
        <v>20</v>
      </c>
    </row>
    <row r="203" spans="1:12" x14ac:dyDescent="0.3">
      <c r="A203">
        <v>2008</v>
      </c>
      <c r="B203" s="1">
        <v>45542</v>
      </c>
      <c r="C203">
        <v>27</v>
      </c>
      <c r="D203" t="s">
        <v>59</v>
      </c>
      <c r="E203" t="s">
        <v>26</v>
      </c>
      <c r="F203">
        <v>3</v>
      </c>
      <c r="G203" t="s">
        <v>81</v>
      </c>
      <c r="H203" t="s">
        <v>30</v>
      </c>
      <c r="I203">
        <v>3</v>
      </c>
      <c r="J203">
        <v>1214</v>
      </c>
      <c r="K203">
        <v>3642</v>
      </c>
      <c r="L203" t="s">
        <v>15</v>
      </c>
    </row>
    <row r="204" spans="1:12" x14ac:dyDescent="0.3">
      <c r="A204">
        <v>2009</v>
      </c>
      <c r="B204" s="1">
        <v>45561</v>
      </c>
      <c r="C204">
        <v>11</v>
      </c>
      <c r="D204" t="s">
        <v>89</v>
      </c>
      <c r="E204" t="s">
        <v>26</v>
      </c>
      <c r="F204">
        <v>1</v>
      </c>
      <c r="G204" t="s">
        <v>42</v>
      </c>
      <c r="H204" t="s">
        <v>14</v>
      </c>
      <c r="I204">
        <v>3</v>
      </c>
      <c r="J204">
        <v>574</v>
      </c>
      <c r="K204">
        <v>1722</v>
      </c>
      <c r="L204" t="s">
        <v>15</v>
      </c>
    </row>
    <row r="205" spans="1:12" x14ac:dyDescent="0.3">
      <c r="A205">
        <v>2010</v>
      </c>
      <c r="B205" s="1">
        <v>45640</v>
      </c>
      <c r="C205">
        <v>16</v>
      </c>
      <c r="D205" t="s">
        <v>43</v>
      </c>
      <c r="E205" t="s">
        <v>17</v>
      </c>
      <c r="F205">
        <v>16</v>
      </c>
      <c r="G205" t="s">
        <v>55</v>
      </c>
      <c r="H205" t="s">
        <v>30</v>
      </c>
      <c r="I205">
        <v>3</v>
      </c>
      <c r="J205">
        <v>1948</v>
      </c>
      <c r="K205">
        <v>5844</v>
      </c>
      <c r="L205" t="s">
        <v>33</v>
      </c>
    </row>
    <row r="206" spans="1:12" x14ac:dyDescent="0.3">
      <c r="A206">
        <v>2011</v>
      </c>
      <c r="B206" s="1">
        <v>45547</v>
      </c>
      <c r="C206">
        <v>6</v>
      </c>
      <c r="D206" t="s">
        <v>70</v>
      </c>
      <c r="E206" t="s">
        <v>26</v>
      </c>
      <c r="F206">
        <v>10</v>
      </c>
      <c r="G206" t="s">
        <v>61</v>
      </c>
      <c r="H206" t="s">
        <v>62</v>
      </c>
      <c r="I206">
        <v>2</v>
      </c>
      <c r="J206">
        <v>273</v>
      </c>
      <c r="K206">
        <v>546</v>
      </c>
      <c r="L206" t="s">
        <v>20</v>
      </c>
    </row>
    <row r="207" spans="1:12" x14ac:dyDescent="0.3">
      <c r="A207">
        <v>2012</v>
      </c>
      <c r="B207" s="1">
        <v>45541</v>
      </c>
      <c r="C207">
        <v>2</v>
      </c>
      <c r="D207" t="s">
        <v>12</v>
      </c>
      <c r="E207" t="s">
        <v>63</v>
      </c>
      <c r="F207">
        <v>1</v>
      </c>
      <c r="G207" t="s">
        <v>42</v>
      </c>
      <c r="H207" t="s">
        <v>14</v>
      </c>
      <c r="I207">
        <v>8</v>
      </c>
      <c r="J207">
        <v>574</v>
      </c>
      <c r="K207">
        <v>4592</v>
      </c>
      <c r="L207" t="s">
        <v>24</v>
      </c>
    </row>
    <row r="208" spans="1:12" x14ac:dyDescent="0.3">
      <c r="A208">
        <v>2013</v>
      </c>
      <c r="B208" s="1">
        <v>45516</v>
      </c>
      <c r="C208">
        <v>26</v>
      </c>
      <c r="D208" t="s">
        <v>46</v>
      </c>
      <c r="E208" t="s">
        <v>63</v>
      </c>
      <c r="F208">
        <v>12</v>
      </c>
      <c r="G208" t="s">
        <v>23</v>
      </c>
      <c r="H208" t="s">
        <v>19</v>
      </c>
      <c r="I208">
        <v>9</v>
      </c>
      <c r="J208">
        <v>1539</v>
      </c>
      <c r="K208">
        <v>13851</v>
      </c>
      <c r="L208" t="s">
        <v>15</v>
      </c>
    </row>
    <row r="209" spans="1:12" x14ac:dyDescent="0.3">
      <c r="A209">
        <v>2014</v>
      </c>
      <c r="B209" s="1">
        <v>45651</v>
      </c>
      <c r="C209">
        <v>14</v>
      </c>
      <c r="D209" t="s">
        <v>88</v>
      </c>
      <c r="E209" t="s">
        <v>22</v>
      </c>
      <c r="F209">
        <v>11</v>
      </c>
      <c r="G209" t="s">
        <v>77</v>
      </c>
      <c r="H209" t="s">
        <v>14</v>
      </c>
      <c r="I209">
        <v>2</v>
      </c>
      <c r="J209">
        <v>1093</v>
      </c>
      <c r="K209">
        <v>2186</v>
      </c>
      <c r="L209" t="s">
        <v>24</v>
      </c>
    </row>
    <row r="210" spans="1:12" x14ac:dyDescent="0.3">
      <c r="A210">
        <v>2015</v>
      </c>
      <c r="B210" s="1">
        <v>45588</v>
      </c>
      <c r="C210">
        <v>31</v>
      </c>
      <c r="D210" t="s">
        <v>48</v>
      </c>
      <c r="E210" t="s">
        <v>22</v>
      </c>
      <c r="F210">
        <v>13</v>
      </c>
      <c r="G210" t="s">
        <v>36</v>
      </c>
      <c r="H210" t="s">
        <v>19</v>
      </c>
      <c r="I210">
        <v>3</v>
      </c>
      <c r="J210">
        <v>1267</v>
      </c>
      <c r="K210">
        <v>3801</v>
      </c>
      <c r="L210" t="s">
        <v>15</v>
      </c>
    </row>
    <row r="211" spans="1:12" x14ac:dyDescent="0.3">
      <c r="A211">
        <v>2016</v>
      </c>
      <c r="B211" s="1">
        <v>45599</v>
      </c>
      <c r="C211">
        <v>33</v>
      </c>
      <c r="D211" t="s">
        <v>79</v>
      </c>
      <c r="E211" t="s">
        <v>17</v>
      </c>
      <c r="F211">
        <v>20</v>
      </c>
      <c r="G211" t="s">
        <v>80</v>
      </c>
      <c r="H211" t="s">
        <v>30</v>
      </c>
      <c r="I211">
        <v>10</v>
      </c>
      <c r="J211">
        <v>1558</v>
      </c>
      <c r="K211">
        <v>15580</v>
      </c>
      <c r="L211" t="s">
        <v>20</v>
      </c>
    </row>
    <row r="212" spans="1:12" x14ac:dyDescent="0.3">
      <c r="A212">
        <v>2017</v>
      </c>
      <c r="B212" s="1">
        <v>45568</v>
      </c>
      <c r="C212">
        <v>22</v>
      </c>
      <c r="D212" t="s">
        <v>69</v>
      </c>
      <c r="E212" t="s">
        <v>22</v>
      </c>
      <c r="F212">
        <v>13</v>
      </c>
      <c r="G212" t="s">
        <v>36</v>
      </c>
      <c r="H212" t="s">
        <v>19</v>
      </c>
      <c r="I212">
        <v>6</v>
      </c>
      <c r="J212">
        <v>1267</v>
      </c>
      <c r="K212">
        <v>7602</v>
      </c>
      <c r="L212" t="s">
        <v>33</v>
      </c>
    </row>
    <row r="213" spans="1:12" x14ac:dyDescent="0.3">
      <c r="A213">
        <v>2018</v>
      </c>
      <c r="B213" s="1">
        <v>45646</v>
      </c>
      <c r="C213">
        <v>32</v>
      </c>
      <c r="D213" t="s">
        <v>78</v>
      </c>
      <c r="E213" t="s">
        <v>26</v>
      </c>
      <c r="F213">
        <v>15</v>
      </c>
      <c r="G213" t="s">
        <v>65</v>
      </c>
      <c r="H213" t="s">
        <v>14</v>
      </c>
      <c r="I213">
        <v>7</v>
      </c>
      <c r="J213">
        <v>976</v>
      </c>
      <c r="K213">
        <v>6832</v>
      </c>
      <c r="L213" t="s">
        <v>24</v>
      </c>
    </row>
    <row r="214" spans="1:12" x14ac:dyDescent="0.3">
      <c r="A214">
        <v>2019</v>
      </c>
      <c r="B214" s="1">
        <v>45566</v>
      </c>
      <c r="C214">
        <v>19</v>
      </c>
      <c r="D214" t="s">
        <v>83</v>
      </c>
      <c r="E214" t="s">
        <v>22</v>
      </c>
      <c r="F214">
        <v>9</v>
      </c>
      <c r="G214" t="s">
        <v>13</v>
      </c>
      <c r="H214" t="s">
        <v>14</v>
      </c>
      <c r="I214">
        <v>3</v>
      </c>
      <c r="J214">
        <v>1047</v>
      </c>
      <c r="K214">
        <v>3141</v>
      </c>
      <c r="L214" t="s">
        <v>15</v>
      </c>
    </row>
    <row r="215" spans="1:12" x14ac:dyDescent="0.3">
      <c r="A215">
        <v>2050</v>
      </c>
      <c r="B215" s="1">
        <v>45510</v>
      </c>
      <c r="C215">
        <v>39</v>
      </c>
      <c r="D215" t="s">
        <v>37</v>
      </c>
      <c r="E215" t="s">
        <v>63</v>
      </c>
      <c r="F215">
        <v>3</v>
      </c>
      <c r="G215" t="s">
        <v>81</v>
      </c>
      <c r="H215" t="s">
        <v>30</v>
      </c>
      <c r="I215">
        <v>4</v>
      </c>
      <c r="J215">
        <v>1214</v>
      </c>
      <c r="K215">
        <v>4856</v>
      </c>
      <c r="L215" t="s">
        <v>24</v>
      </c>
    </row>
    <row r="216" spans="1:12" x14ac:dyDescent="0.3">
      <c r="A216">
        <v>2051</v>
      </c>
      <c r="B216" s="1">
        <v>45632</v>
      </c>
      <c r="C216">
        <v>15</v>
      </c>
      <c r="D216" t="s">
        <v>72</v>
      </c>
      <c r="E216" t="s">
        <v>26</v>
      </c>
      <c r="F216">
        <v>19</v>
      </c>
      <c r="G216" t="s">
        <v>18</v>
      </c>
      <c r="H216" t="s">
        <v>19</v>
      </c>
      <c r="I216">
        <v>1</v>
      </c>
      <c r="J216">
        <v>1563</v>
      </c>
      <c r="K216">
        <v>1563</v>
      </c>
      <c r="L216" t="s">
        <v>33</v>
      </c>
    </row>
    <row r="217" spans="1:12" x14ac:dyDescent="0.3">
      <c r="A217">
        <v>2052</v>
      </c>
      <c r="B217" s="1">
        <v>45594</v>
      </c>
      <c r="C217">
        <v>36</v>
      </c>
      <c r="D217" t="s">
        <v>60</v>
      </c>
      <c r="E217" t="s">
        <v>22</v>
      </c>
      <c r="F217">
        <v>13</v>
      </c>
      <c r="G217" t="s">
        <v>36</v>
      </c>
      <c r="H217" t="s">
        <v>19</v>
      </c>
      <c r="I217">
        <v>8</v>
      </c>
      <c r="J217">
        <v>1267</v>
      </c>
      <c r="K217">
        <v>10136</v>
      </c>
      <c r="L217" t="s">
        <v>24</v>
      </c>
    </row>
    <row r="218" spans="1:12" x14ac:dyDescent="0.3">
      <c r="A218">
        <v>2053</v>
      </c>
      <c r="B218" s="1">
        <v>45579</v>
      </c>
      <c r="C218">
        <v>26</v>
      </c>
      <c r="D218" t="s">
        <v>46</v>
      </c>
      <c r="E218" t="s">
        <v>63</v>
      </c>
      <c r="F218">
        <v>3</v>
      </c>
      <c r="G218" t="s">
        <v>81</v>
      </c>
      <c r="H218" t="s">
        <v>30</v>
      </c>
      <c r="I218">
        <v>4</v>
      </c>
      <c r="J218">
        <v>1214</v>
      </c>
      <c r="K218">
        <v>4856</v>
      </c>
      <c r="L218" t="s">
        <v>20</v>
      </c>
    </row>
    <row r="219" spans="1:12" x14ac:dyDescent="0.3">
      <c r="A219">
        <v>2054</v>
      </c>
      <c r="B219" s="1">
        <v>45574</v>
      </c>
      <c r="C219">
        <v>40</v>
      </c>
      <c r="D219" t="s">
        <v>25</v>
      </c>
      <c r="E219" t="s">
        <v>26</v>
      </c>
      <c r="F219">
        <v>7</v>
      </c>
      <c r="G219" t="s">
        <v>67</v>
      </c>
      <c r="H219" t="s">
        <v>62</v>
      </c>
      <c r="I219">
        <v>5</v>
      </c>
      <c r="J219">
        <v>1625</v>
      </c>
      <c r="K219">
        <v>8125</v>
      </c>
      <c r="L219" t="s">
        <v>33</v>
      </c>
    </row>
    <row r="220" spans="1:12" x14ac:dyDescent="0.3">
      <c r="A220">
        <v>2055</v>
      </c>
      <c r="B220" s="1">
        <v>45529</v>
      </c>
      <c r="C220">
        <v>1</v>
      </c>
      <c r="D220" t="s">
        <v>47</v>
      </c>
      <c r="E220" t="s">
        <v>22</v>
      </c>
      <c r="F220">
        <v>14</v>
      </c>
      <c r="G220" t="s">
        <v>27</v>
      </c>
      <c r="H220" t="s">
        <v>14</v>
      </c>
      <c r="I220">
        <v>9</v>
      </c>
      <c r="J220">
        <v>204</v>
      </c>
      <c r="K220">
        <v>1836</v>
      </c>
      <c r="L220" t="s">
        <v>20</v>
      </c>
    </row>
    <row r="221" spans="1:12" x14ac:dyDescent="0.3">
      <c r="A221">
        <v>2056</v>
      </c>
      <c r="B221" s="1">
        <v>45476</v>
      </c>
      <c r="C221">
        <v>41</v>
      </c>
      <c r="D221" t="s">
        <v>91</v>
      </c>
      <c r="E221" t="s">
        <v>26</v>
      </c>
      <c r="F221">
        <v>19</v>
      </c>
      <c r="G221" t="s">
        <v>18</v>
      </c>
      <c r="H221" t="s">
        <v>19</v>
      </c>
      <c r="I221">
        <v>4</v>
      </c>
      <c r="J221">
        <v>1563</v>
      </c>
      <c r="K221">
        <v>6252</v>
      </c>
      <c r="L221" t="s">
        <v>24</v>
      </c>
    </row>
    <row r="222" spans="1:12" x14ac:dyDescent="0.3">
      <c r="A222">
        <v>2057</v>
      </c>
      <c r="B222" s="1">
        <v>45555</v>
      </c>
      <c r="C222">
        <v>49</v>
      </c>
      <c r="D222" t="s">
        <v>66</v>
      </c>
      <c r="E222" t="s">
        <v>26</v>
      </c>
      <c r="F222">
        <v>5</v>
      </c>
      <c r="G222" t="s">
        <v>38</v>
      </c>
      <c r="H222" t="s">
        <v>30</v>
      </c>
      <c r="I222">
        <v>9</v>
      </c>
      <c r="J222">
        <v>632</v>
      </c>
      <c r="K222">
        <v>5688</v>
      </c>
      <c r="L222" t="s">
        <v>33</v>
      </c>
    </row>
    <row r="223" spans="1:12" x14ac:dyDescent="0.3">
      <c r="A223">
        <v>2058</v>
      </c>
      <c r="B223" s="1">
        <v>45561</v>
      </c>
      <c r="C223">
        <v>19</v>
      </c>
      <c r="D223" t="s">
        <v>83</v>
      </c>
      <c r="E223" t="s">
        <v>22</v>
      </c>
      <c r="F223">
        <v>8</v>
      </c>
      <c r="G223" t="s">
        <v>44</v>
      </c>
      <c r="H223" t="s">
        <v>19</v>
      </c>
      <c r="I223">
        <v>5</v>
      </c>
      <c r="J223">
        <v>1924</v>
      </c>
      <c r="K223">
        <v>9620</v>
      </c>
      <c r="L223" t="s">
        <v>24</v>
      </c>
    </row>
    <row r="224" spans="1:12" x14ac:dyDescent="0.3">
      <c r="A224">
        <v>2059</v>
      </c>
      <c r="B224" s="1">
        <v>45579</v>
      </c>
      <c r="C224">
        <v>39</v>
      </c>
      <c r="D224" t="s">
        <v>37</v>
      </c>
      <c r="E224" t="s">
        <v>63</v>
      </c>
      <c r="F224">
        <v>11</v>
      </c>
      <c r="G224" t="s">
        <v>77</v>
      </c>
      <c r="H224" t="s">
        <v>14</v>
      </c>
      <c r="I224">
        <v>3</v>
      </c>
      <c r="J224">
        <v>1093</v>
      </c>
      <c r="K224">
        <v>3279</v>
      </c>
      <c r="L224" t="s">
        <v>24</v>
      </c>
    </row>
    <row r="225" spans="1:12" x14ac:dyDescent="0.3">
      <c r="A225">
        <v>2060</v>
      </c>
      <c r="B225" s="1">
        <v>45570</v>
      </c>
      <c r="C225">
        <v>20</v>
      </c>
      <c r="D225" t="s">
        <v>92</v>
      </c>
      <c r="E225" t="s">
        <v>17</v>
      </c>
      <c r="F225">
        <v>15</v>
      </c>
      <c r="G225" t="s">
        <v>65</v>
      </c>
      <c r="H225" t="s">
        <v>14</v>
      </c>
      <c r="I225">
        <v>4</v>
      </c>
      <c r="J225">
        <v>976</v>
      </c>
      <c r="K225">
        <v>3904</v>
      </c>
      <c r="L225" t="s">
        <v>15</v>
      </c>
    </row>
    <row r="226" spans="1:12" x14ac:dyDescent="0.3">
      <c r="A226">
        <v>2061</v>
      </c>
      <c r="B226" s="1">
        <v>45564</v>
      </c>
      <c r="C226">
        <v>50</v>
      </c>
      <c r="D226" t="s">
        <v>85</v>
      </c>
      <c r="E226" t="s">
        <v>22</v>
      </c>
      <c r="F226">
        <v>3</v>
      </c>
      <c r="G226" t="s">
        <v>81</v>
      </c>
      <c r="H226" t="s">
        <v>30</v>
      </c>
      <c r="I226">
        <v>6</v>
      </c>
      <c r="J226">
        <v>1214</v>
      </c>
      <c r="K226">
        <v>7284</v>
      </c>
      <c r="L226" t="s">
        <v>15</v>
      </c>
    </row>
    <row r="227" spans="1:12" x14ac:dyDescent="0.3">
      <c r="A227">
        <v>2062</v>
      </c>
      <c r="B227" s="1">
        <v>45490</v>
      </c>
      <c r="C227">
        <v>48</v>
      </c>
      <c r="D227" t="s">
        <v>28</v>
      </c>
      <c r="E227" t="s">
        <v>63</v>
      </c>
      <c r="F227">
        <v>16</v>
      </c>
      <c r="G227" t="s">
        <v>55</v>
      </c>
      <c r="H227" t="s">
        <v>30</v>
      </c>
      <c r="I227">
        <v>5</v>
      </c>
      <c r="J227">
        <v>1948</v>
      </c>
      <c r="K227">
        <v>9740</v>
      </c>
      <c r="L227" t="s">
        <v>20</v>
      </c>
    </row>
    <row r="228" spans="1:12" x14ac:dyDescent="0.3">
      <c r="A228">
        <v>2063</v>
      </c>
      <c r="B228" s="1">
        <v>45650</v>
      </c>
      <c r="C228">
        <v>44</v>
      </c>
      <c r="D228" t="s">
        <v>73</v>
      </c>
      <c r="E228" t="s">
        <v>17</v>
      </c>
      <c r="F228">
        <v>16</v>
      </c>
      <c r="G228" t="s">
        <v>55</v>
      </c>
      <c r="H228" t="s">
        <v>30</v>
      </c>
      <c r="I228">
        <v>3</v>
      </c>
      <c r="J228">
        <v>1948</v>
      </c>
      <c r="K228">
        <v>5844</v>
      </c>
      <c r="L228" t="s">
        <v>24</v>
      </c>
    </row>
    <row r="229" spans="1:12" x14ac:dyDescent="0.3">
      <c r="A229">
        <v>2064</v>
      </c>
      <c r="B229" s="1">
        <v>45540</v>
      </c>
      <c r="C229">
        <v>30</v>
      </c>
      <c r="D229" t="s">
        <v>34</v>
      </c>
      <c r="E229" t="s">
        <v>26</v>
      </c>
      <c r="F229">
        <v>20</v>
      </c>
      <c r="G229" t="s">
        <v>80</v>
      </c>
      <c r="H229" t="s">
        <v>30</v>
      </c>
      <c r="I229">
        <v>2</v>
      </c>
      <c r="J229">
        <v>1558</v>
      </c>
      <c r="K229">
        <v>3116</v>
      </c>
      <c r="L229" t="s">
        <v>24</v>
      </c>
    </row>
    <row r="230" spans="1:12" x14ac:dyDescent="0.3">
      <c r="A230">
        <v>2065</v>
      </c>
      <c r="B230" s="1">
        <v>45513</v>
      </c>
      <c r="C230">
        <v>17</v>
      </c>
      <c r="D230" t="s">
        <v>45</v>
      </c>
      <c r="E230" t="s">
        <v>26</v>
      </c>
      <c r="F230">
        <v>16</v>
      </c>
      <c r="G230" t="s">
        <v>55</v>
      </c>
      <c r="H230" t="s">
        <v>30</v>
      </c>
      <c r="I230">
        <v>5</v>
      </c>
      <c r="J230">
        <v>1948</v>
      </c>
      <c r="K230">
        <v>9740</v>
      </c>
      <c r="L230" t="s">
        <v>15</v>
      </c>
    </row>
    <row r="231" spans="1:12" x14ac:dyDescent="0.3">
      <c r="A231">
        <v>2066</v>
      </c>
      <c r="B231" s="1">
        <v>45474</v>
      </c>
      <c r="C231">
        <v>33</v>
      </c>
      <c r="D231" t="s">
        <v>79</v>
      </c>
      <c r="E231" t="s">
        <v>17</v>
      </c>
      <c r="F231">
        <v>20</v>
      </c>
      <c r="G231" t="s">
        <v>80</v>
      </c>
      <c r="H231" t="s">
        <v>30</v>
      </c>
      <c r="I231">
        <v>10</v>
      </c>
      <c r="J231">
        <v>1558</v>
      </c>
      <c r="K231">
        <v>15580</v>
      </c>
      <c r="L231" t="s">
        <v>33</v>
      </c>
    </row>
    <row r="232" spans="1:12" x14ac:dyDescent="0.3">
      <c r="A232">
        <v>2067</v>
      </c>
      <c r="B232" s="1">
        <v>45621</v>
      </c>
      <c r="C232">
        <v>2</v>
      </c>
      <c r="D232" t="s">
        <v>12</v>
      </c>
      <c r="E232" t="s">
        <v>63</v>
      </c>
      <c r="F232">
        <v>16</v>
      </c>
      <c r="G232" t="s">
        <v>55</v>
      </c>
      <c r="H232" t="s">
        <v>30</v>
      </c>
      <c r="I232">
        <v>3</v>
      </c>
      <c r="J232">
        <v>1948</v>
      </c>
      <c r="K232">
        <v>5844</v>
      </c>
      <c r="L232" t="s">
        <v>15</v>
      </c>
    </row>
    <row r="233" spans="1:12" x14ac:dyDescent="0.3">
      <c r="A233">
        <v>2068</v>
      </c>
      <c r="B233" s="1">
        <v>45479</v>
      </c>
      <c r="C233">
        <v>5</v>
      </c>
      <c r="D233" t="s">
        <v>35</v>
      </c>
      <c r="E233" t="s">
        <v>26</v>
      </c>
      <c r="F233">
        <v>7</v>
      </c>
      <c r="G233" t="s">
        <v>67</v>
      </c>
      <c r="H233" t="s">
        <v>62</v>
      </c>
      <c r="I233">
        <v>7</v>
      </c>
      <c r="J233">
        <v>1625</v>
      </c>
      <c r="K233">
        <v>11375</v>
      </c>
      <c r="L233" t="s">
        <v>33</v>
      </c>
    </row>
    <row r="234" spans="1:12" x14ac:dyDescent="0.3">
      <c r="A234">
        <v>2069</v>
      </c>
      <c r="B234" s="1">
        <v>45625</v>
      </c>
      <c r="C234">
        <v>24</v>
      </c>
      <c r="D234" t="s">
        <v>82</v>
      </c>
      <c r="E234" t="s">
        <v>26</v>
      </c>
      <c r="F234">
        <v>18</v>
      </c>
      <c r="G234" t="s">
        <v>32</v>
      </c>
      <c r="H234" t="s">
        <v>19</v>
      </c>
      <c r="I234">
        <v>2</v>
      </c>
      <c r="J234">
        <v>1099</v>
      </c>
      <c r="K234">
        <v>2198</v>
      </c>
      <c r="L234" t="s">
        <v>24</v>
      </c>
    </row>
    <row r="235" spans="1:12" x14ac:dyDescent="0.3">
      <c r="A235">
        <v>2070</v>
      </c>
      <c r="B235" s="1">
        <v>45603</v>
      </c>
      <c r="C235">
        <v>35</v>
      </c>
      <c r="D235" t="s">
        <v>53</v>
      </c>
      <c r="E235" t="s">
        <v>63</v>
      </c>
      <c r="F235">
        <v>7</v>
      </c>
      <c r="G235" t="s">
        <v>67</v>
      </c>
      <c r="H235" t="s">
        <v>62</v>
      </c>
      <c r="I235">
        <v>3</v>
      </c>
      <c r="J235">
        <v>1625</v>
      </c>
      <c r="K235">
        <v>4875</v>
      </c>
      <c r="L235" t="s">
        <v>15</v>
      </c>
    </row>
    <row r="236" spans="1:12" x14ac:dyDescent="0.3">
      <c r="A236">
        <v>2071</v>
      </c>
      <c r="B236" s="1">
        <v>45654</v>
      </c>
      <c r="C236">
        <v>7</v>
      </c>
      <c r="D236" t="s">
        <v>39</v>
      </c>
      <c r="E236" t="s">
        <v>26</v>
      </c>
      <c r="F236">
        <v>8</v>
      </c>
      <c r="G236" t="s">
        <v>44</v>
      </c>
      <c r="H236" t="s">
        <v>19</v>
      </c>
      <c r="I236">
        <v>7</v>
      </c>
      <c r="J236">
        <v>1924</v>
      </c>
      <c r="K236">
        <v>13468</v>
      </c>
      <c r="L236" t="s">
        <v>24</v>
      </c>
    </row>
    <row r="237" spans="1:12" x14ac:dyDescent="0.3">
      <c r="A237">
        <v>2072</v>
      </c>
      <c r="B237" s="1">
        <v>45534</v>
      </c>
      <c r="C237">
        <v>45</v>
      </c>
      <c r="D237" t="s">
        <v>41</v>
      </c>
      <c r="E237" t="s">
        <v>63</v>
      </c>
      <c r="F237">
        <v>17</v>
      </c>
      <c r="G237" t="s">
        <v>29</v>
      </c>
      <c r="H237" t="s">
        <v>30</v>
      </c>
      <c r="I237">
        <v>9</v>
      </c>
      <c r="J237">
        <v>1320</v>
      </c>
      <c r="K237">
        <v>11880</v>
      </c>
      <c r="L237" t="s">
        <v>33</v>
      </c>
    </row>
    <row r="238" spans="1:12" x14ac:dyDescent="0.3">
      <c r="A238">
        <v>2073</v>
      </c>
      <c r="B238" s="1">
        <v>45608</v>
      </c>
      <c r="C238">
        <v>49</v>
      </c>
      <c r="D238" t="s">
        <v>66</v>
      </c>
      <c r="E238" t="s">
        <v>26</v>
      </c>
      <c r="F238">
        <v>12</v>
      </c>
      <c r="G238" t="s">
        <v>23</v>
      </c>
      <c r="H238" t="s">
        <v>19</v>
      </c>
      <c r="I238">
        <v>4</v>
      </c>
      <c r="J238">
        <v>1539</v>
      </c>
      <c r="K238">
        <v>6156</v>
      </c>
      <c r="L238" t="s">
        <v>20</v>
      </c>
    </row>
    <row r="239" spans="1:12" x14ac:dyDescent="0.3">
      <c r="A239">
        <v>2074</v>
      </c>
      <c r="B239" s="1">
        <v>45542</v>
      </c>
      <c r="C239">
        <v>20</v>
      </c>
      <c r="D239" t="s">
        <v>92</v>
      </c>
      <c r="E239" t="s">
        <v>17</v>
      </c>
      <c r="F239">
        <v>9</v>
      </c>
      <c r="G239" t="s">
        <v>13</v>
      </c>
      <c r="H239" t="s">
        <v>14</v>
      </c>
      <c r="I239">
        <v>8</v>
      </c>
      <c r="J239">
        <v>1047</v>
      </c>
      <c r="K239">
        <v>8376</v>
      </c>
      <c r="L239" t="s">
        <v>24</v>
      </c>
    </row>
    <row r="240" spans="1:12" x14ac:dyDescent="0.3">
      <c r="A240">
        <v>2075</v>
      </c>
      <c r="B240" s="1">
        <v>45496</v>
      </c>
      <c r="C240">
        <v>39</v>
      </c>
      <c r="D240" t="s">
        <v>37</v>
      </c>
      <c r="E240" t="s">
        <v>63</v>
      </c>
      <c r="F240">
        <v>18</v>
      </c>
      <c r="G240" t="s">
        <v>32</v>
      </c>
      <c r="H240" t="s">
        <v>19</v>
      </c>
      <c r="I240">
        <v>10</v>
      </c>
      <c r="J240">
        <v>1099</v>
      </c>
      <c r="K240">
        <v>10990</v>
      </c>
      <c r="L240" t="s">
        <v>20</v>
      </c>
    </row>
    <row r="241" spans="1:12" x14ac:dyDescent="0.3">
      <c r="A241">
        <v>2076</v>
      </c>
      <c r="B241" s="1">
        <v>45488</v>
      </c>
      <c r="C241">
        <v>19</v>
      </c>
      <c r="D241" t="s">
        <v>83</v>
      </c>
      <c r="E241" t="s">
        <v>22</v>
      </c>
      <c r="F241">
        <v>16</v>
      </c>
      <c r="G241" t="s">
        <v>55</v>
      </c>
      <c r="H241" t="s">
        <v>30</v>
      </c>
      <c r="I241">
        <v>8</v>
      </c>
      <c r="J241">
        <v>1948</v>
      </c>
      <c r="K241">
        <v>15584</v>
      </c>
      <c r="L241" t="s">
        <v>24</v>
      </c>
    </row>
    <row r="242" spans="1:12" x14ac:dyDescent="0.3">
      <c r="A242">
        <v>2077</v>
      </c>
      <c r="B242" s="1">
        <v>45505</v>
      </c>
      <c r="C242">
        <v>36</v>
      </c>
      <c r="D242" t="s">
        <v>60</v>
      </c>
      <c r="E242" t="s">
        <v>22</v>
      </c>
      <c r="F242">
        <v>18</v>
      </c>
      <c r="G242" t="s">
        <v>32</v>
      </c>
      <c r="H242" t="s">
        <v>19</v>
      </c>
      <c r="I242">
        <v>1</v>
      </c>
      <c r="J242">
        <v>1099</v>
      </c>
      <c r="K242">
        <v>1099</v>
      </c>
      <c r="L242" t="s">
        <v>15</v>
      </c>
    </row>
    <row r="243" spans="1:12" x14ac:dyDescent="0.3">
      <c r="A243">
        <v>2078</v>
      </c>
      <c r="B243" s="1">
        <v>45520</v>
      </c>
      <c r="C243">
        <v>1</v>
      </c>
      <c r="D243" t="s">
        <v>47</v>
      </c>
      <c r="E243" t="s">
        <v>22</v>
      </c>
      <c r="F243">
        <v>2</v>
      </c>
      <c r="G243" t="s">
        <v>49</v>
      </c>
      <c r="H243" t="s">
        <v>19</v>
      </c>
      <c r="I243">
        <v>8</v>
      </c>
      <c r="J243">
        <v>481</v>
      </c>
      <c r="K243">
        <v>3848</v>
      </c>
      <c r="L243" t="s">
        <v>24</v>
      </c>
    </row>
    <row r="244" spans="1:12" x14ac:dyDescent="0.3">
      <c r="A244">
        <v>2079</v>
      </c>
      <c r="B244" s="1">
        <v>45639</v>
      </c>
      <c r="C244">
        <v>3</v>
      </c>
      <c r="D244" t="s">
        <v>87</v>
      </c>
      <c r="E244" t="s">
        <v>17</v>
      </c>
      <c r="F244">
        <v>4</v>
      </c>
      <c r="G244" t="s">
        <v>52</v>
      </c>
      <c r="H244" t="s">
        <v>14</v>
      </c>
      <c r="I244">
        <v>3</v>
      </c>
      <c r="J244">
        <v>1380</v>
      </c>
      <c r="K244">
        <v>4140</v>
      </c>
      <c r="L244" t="s">
        <v>20</v>
      </c>
    </row>
    <row r="245" spans="1:12" x14ac:dyDescent="0.3">
      <c r="A245">
        <v>2080</v>
      </c>
      <c r="B245" s="1">
        <v>45578</v>
      </c>
      <c r="C245">
        <v>6</v>
      </c>
      <c r="D245" t="s">
        <v>70</v>
      </c>
      <c r="E245" t="s">
        <v>26</v>
      </c>
      <c r="F245">
        <v>13</v>
      </c>
      <c r="G245" t="s">
        <v>36</v>
      </c>
      <c r="H245" t="s">
        <v>19</v>
      </c>
      <c r="I245">
        <v>2</v>
      </c>
      <c r="J245">
        <v>1267</v>
      </c>
      <c r="K245">
        <v>2534</v>
      </c>
      <c r="L245" t="s">
        <v>33</v>
      </c>
    </row>
    <row r="246" spans="1:12" x14ac:dyDescent="0.3">
      <c r="A246">
        <v>2081</v>
      </c>
      <c r="B246" s="1">
        <v>45635</v>
      </c>
      <c r="C246">
        <v>18</v>
      </c>
      <c r="D246" t="s">
        <v>93</v>
      </c>
      <c r="E246" t="s">
        <v>22</v>
      </c>
      <c r="F246">
        <v>6</v>
      </c>
      <c r="G246" t="s">
        <v>71</v>
      </c>
      <c r="H246" t="s">
        <v>62</v>
      </c>
      <c r="I246">
        <v>3</v>
      </c>
      <c r="J246">
        <v>1421</v>
      </c>
      <c r="K246">
        <v>4263</v>
      </c>
      <c r="L246" t="s">
        <v>20</v>
      </c>
    </row>
    <row r="247" spans="1:12" x14ac:dyDescent="0.3">
      <c r="A247">
        <v>2082</v>
      </c>
      <c r="B247" s="1">
        <v>45478</v>
      </c>
      <c r="C247">
        <v>9</v>
      </c>
      <c r="D247" t="s">
        <v>21</v>
      </c>
      <c r="E247" t="s">
        <v>22</v>
      </c>
      <c r="F247">
        <v>18</v>
      </c>
      <c r="G247" t="s">
        <v>32</v>
      </c>
      <c r="H247" t="s">
        <v>19</v>
      </c>
      <c r="I247">
        <v>5</v>
      </c>
      <c r="J247">
        <v>1099</v>
      </c>
      <c r="K247">
        <v>5495</v>
      </c>
      <c r="L247" t="s">
        <v>33</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E44B2D3F-CEA3-4901-8C64-42988C80C3DF}">
  <ds:schemaRefs/>
</ds:datastoreItem>
</file>

<file path=customXml/itemProps2.xml><?xml version="1.0" encoding="utf-8"?>
<ds:datastoreItem xmlns:ds="http://schemas.openxmlformats.org/officeDocument/2006/customXml" ds:itemID="{4B7DABA0-2759-45E7-B872-3DFDAD368A1B}">
  <ds:schemaRefs/>
</ds:datastoreItem>
</file>

<file path=customXml/itemProps3.xml><?xml version="1.0" encoding="utf-8"?>
<ds:datastoreItem xmlns:ds="http://schemas.openxmlformats.org/officeDocument/2006/customXml" ds:itemID="{C5698BB2-D606-4926-A763-68FD30118A8A}">
  <ds:schemaRefs/>
</ds:datastoreItem>
</file>

<file path=customXml/itemProps4.xml><?xml version="1.0" encoding="utf-8"?>
<ds:datastoreItem xmlns:ds="http://schemas.openxmlformats.org/officeDocument/2006/customXml" ds:itemID="{F54CE50C-82DE-4E10-95E3-A8D2A16FCD86}">
  <ds:schemaRefs/>
</ds:datastoreItem>
</file>

<file path=customXml/itemProps5.xml><?xml version="1.0" encoding="utf-8"?>
<ds:datastoreItem xmlns:ds="http://schemas.openxmlformats.org/officeDocument/2006/customXml" ds:itemID="{58EEAF77-AB38-4C63-B2C0-3886722E469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Orders_2024_Jan_Jun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Sathvika Goka</dc:creator>
  <cp:lastModifiedBy>Sathvika Goka</cp:lastModifiedBy>
  <cp:lastPrinted>2026-09-12T09:28:44Z</cp:lastPrinted>
  <dcterms:created xsi:type="dcterms:W3CDTF">2026-07-20T06:15:40Z</dcterms:created>
  <dcterms:modified xsi:type="dcterms:W3CDTF">2026-09-23T07:48:08Z</dcterms:modified>
</cp:coreProperties>
</file>